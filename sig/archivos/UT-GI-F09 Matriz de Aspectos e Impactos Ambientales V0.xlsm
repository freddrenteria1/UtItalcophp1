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43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acer\Documents\ITALCO\1. SGI ITALCO\GESTIÓN INTEGRAL\FORMATOS\"/>
    </mc:Choice>
  </mc:AlternateContent>
  <xr:revisionPtr revIDLastSave="0" documentId="13_ncr:1_{5419C4E2-786C-4387-B0D6-76371C9E72FB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TABLAS VALORACION " sheetId="5" r:id="rId1"/>
    <sheet name="UT-GI-F09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16" i="4" l="1"/>
  <c r="W15" i="4"/>
  <c r="W17" i="4" l="1"/>
  <c r="W58" i="4"/>
  <c r="W66" i="4"/>
  <c r="W67" i="4"/>
  <c r="W40" i="4"/>
  <c r="W32" i="4"/>
  <c r="W38" i="4"/>
  <c r="W33" i="4"/>
  <c r="W64" i="4" l="1"/>
  <c r="W65" i="4"/>
  <c r="W59" i="4"/>
  <c r="W60" i="4"/>
  <c r="W61" i="4"/>
  <c r="W62" i="4"/>
  <c r="W63" i="4"/>
  <c r="W52" i="4" l="1"/>
  <c r="W55" i="4"/>
  <c r="W56" i="4"/>
  <c r="W57" i="4"/>
  <c r="W54" i="4"/>
  <c r="W51" i="4"/>
  <c r="W49" i="4"/>
  <c r="W50" i="4"/>
  <c r="W43" i="4" l="1"/>
  <c r="W46" i="4"/>
  <c r="W44" i="4"/>
  <c r="W45" i="4"/>
  <c r="W47" i="4"/>
  <c r="W41" i="4" l="1"/>
  <c r="W42" i="4"/>
  <c r="W35" i="4"/>
  <c r="W37" i="4"/>
  <c r="W34" i="4"/>
  <c r="W36" i="4"/>
  <c r="W31" i="4"/>
  <c r="W30" i="4"/>
  <c r="W28" i="4"/>
  <c r="W14" i="4"/>
  <c r="W29" i="4"/>
  <c r="W27" i="4"/>
  <c r="W13" i="4" l="1"/>
  <c r="W24" i="4"/>
  <c r="W26" i="4"/>
  <c r="W20" i="4"/>
  <c r="W23" i="4"/>
  <c r="W21" i="4"/>
  <c r="W25" i="4"/>
  <c r="W19" i="4"/>
  <c r="W18" i="4"/>
  <c r="W48" i="4" l="1"/>
  <c r="W39" i="4"/>
  <c r="W12" i="4"/>
  <c r="W53" i="4"/>
  <c r="W2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AES GESTIOM LTDA AES GESTIOM LTDA</author>
    <author>ricardo murcia</author>
    <author>Mi PC</author>
  </authors>
  <commentList>
    <comment ref="E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CONDICION NORMA:E</t>
        </r>
        <r>
          <rPr>
            <sz val="9"/>
            <color indexed="81"/>
            <rFont val="Tahoma"/>
            <family val="2"/>
          </rPr>
          <t>s  la   situacion  que  se presenta bajo  los controles de la organización  en el  dia a dia de la operación.C</t>
        </r>
        <r>
          <rPr>
            <b/>
            <sz val="9"/>
            <color indexed="81"/>
            <rFont val="Tahoma"/>
            <family val="2"/>
          </rPr>
          <t xml:space="preserve">ONDICIONES ANORMALES: </t>
        </r>
        <r>
          <rPr>
            <sz val="9"/>
            <color indexed="81"/>
            <rFont val="Tahoma"/>
            <family val="2"/>
          </rPr>
          <t>Son las sutuaciones  que se  salen  de la condicion normal  y requieren tratamientos especiales.</t>
        </r>
        <r>
          <rPr>
            <b/>
            <sz val="9"/>
            <color indexed="81"/>
            <rFont val="Tahoma"/>
            <family val="2"/>
          </rPr>
          <t>SITUACIONES DE EMERGENCIA</t>
        </r>
        <r>
          <rPr>
            <sz val="9"/>
            <color indexed="81"/>
            <rFont val="Tahoma"/>
            <family val="2"/>
          </rPr>
          <t xml:space="preserve">:Situaciones que se salen de control y requieren activar una atencion de emergencia. 
</t>
        </r>
      </text>
    </comment>
    <comment ref="X8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SIGNIFICANCIA ALTA     Aspectos Ambientales con puntaje igual ó mayor a 75    
SIGNIFICANCIA MEDIA   Puntajes mayores ó iguales a 50 y menores a 75    
SIGNIFICANCIA BAJA     Puntajes mayores a 39 y menores a 50    
NO SIGNIFICANTES         Puntajes menores ó iguales a 39   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0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1      No existe requisito legal
10    Existe requisito legal
1       No aplica requisito legal
</t>
        </r>
        <r>
          <rPr>
            <sz val="9"/>
            <color indexed="81"/>
            <rFont val="Tahoma"/>
            <family val="2"/>
          </rPr>
          <t xml:space="preserve">
  </t>
        </r>
      </text>
    </comment>
    <comment ref="N10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
5   Cumple requisito legal
10  No cumple requisito legal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0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
10    Hay queja y/o exigencia
1      No hay queja y/o exigencia
</t>
        </r>
      </text>
    </comment>
    <comment ref="Q10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 xml:space="preserve">1     Aplica
5    Tratamiento satisfactorio de la queja y/o reclamo
10   Tratamiento no satisfactorio
</t>
        </r>
      </text>
    </comment>
    <comment ref="S10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1     2 a 3 veces al año 
5    2  a 3  veces al mes
10   Diariamente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0" authorId="1" shapeId="0" xr:uid="{00000000-0006-0000-0100-000008000000}">
      <text>
        <r>
          <rPr>
            <b/>
            <sz val="10"/>
            <color indexed="81"/>
            <rFont val="Tahoma"/>
            <family val="2"/>
          </rPr>
          <t xml:space="preserve">1   </t>
        </r>
        <r>
          <rPr>
            <b/>
            <sz val="9"/>
            <color indexed="81"/>
            <rFont val="Tahoma"/>
            <family val="2"/>
          </rPr>
          <t xml:space="preserve"> El aspecto ambiental es contenido en el área de Actividad 
</t>
        </r>
        <r>
          <rPr>
            <b/>
            <sz val="10"/>
            <color indexed="81"/>
            <rFont val="Tahoma"/>
            <family val="2"/>
          </rPr>
          <t xml:space="preserve">5  </t>
        </r>
        <r>
          <rPr>
            <b/>
            <sz val="9"/>
            <color indexed="81"/>
            <rFont val="Tahoma"/>
            <family val="2"/>
          </rPr>
          <t xml:space="preserve">  El aspecto ambiental esta Dentro de la Locación 
</t>
        </r>
        <r>
          <rPr>
            <b/>
            <sz val="10"/>
            <color indexed="81"/>
            <rFont val="Tahoma"/>
            <family val="2"/>
          </rPr>
          <t xml:space="preserve">10 </t>
        </r>
        <r>
          <rPr>
            <b/>
            <sz val="9"/>
            <color indexed="81"/>
            <rFont val="Tahoma"/>
            <family val="2"/>
          </rPr>
          <t xml:space="preserve">  El aspecto ambiental esta fuera de la locación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0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1    </t>
        </r>
        <r>
          <rPr>
            <b/>
            <sz val="9"/>
            <color indexed="81"/>
            <rFont val="Tahoma"/>
            <family val="2"/>
          </rPr>
          <t xml:space="preserve"> Afectación baja
</t>
        </r>
        <r>
          <rPr>
            <b/>
            <sz val="10"/>
            <color indexed="81"/>
            <rFont val="Tahoma"/>
            <family val="2"/>
          </rPr>
          <t xml:space="preserve">5    </t>
        </r>
        <r>
          <rPr>
            <b/>
            <sz val="9"/>
            <color indexed="81"/>
            <rFont val="Tahoma"/>
            <family val="2"/>
          </rPr>
          <t xml:space="preserve">Afectación media
</t>
        </r>
        <r>
          <rPr>
            <b/>
            <sz val="10"/>
            <color indexed="81"/>
            <rFont val="Tahoma"/>
            <family val="2"/>
          </rPr>
          <t>10</t>
        </r>
        <r>
          <rPr>
            <b/>
            <sz val="9"/>
            <color indexed="81"/>
            <rFont val="Tahoma"/>
            <family val="2"/>
          </rPr>
          <t xml:space="preserve">   Afectación alta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12" authorId="2" shapeId="0" xr:uid="{00000000-0006-0000-0100-00000A000000}">
      <text>
        <r>
          <rPr>
            <b/>
            <sz val="8"/>
            <color indexed="81"/>
            <rFont val="Tahoma"/>
            <family val="2"/>
          </rPr>
          <t>Mi PC:</t>
        </r>
        <r>
          <rPr>
            <sz val="8"/>
            <color indexed="81"/>
            <rFont val="Tahoma"/>
            <family val="2"/>
          </rPr>
          <t xml:space="preserve">
5 Cumple requiasito legal
10 No cumple requisito legal</t>
        </r>
      </text>
    </comment>
    <comment ref="N13" authorId="2" shapeId="0" xr:uid="{00000000-0006-0000-0100-00000B000000}">
      <text>
        <r>
          <rPr>
            <b/>
            <sz val="8"/>
            <color indexed="81"/>
            <rFont val="Tahoma"/>
            <family val="2"/>
          </rPr>
          <t>Mi PC:</t>
        </r>
        <r>
          <rPr>
            <sz val="8"/>
            <color indexed="81"/>
            <rFont val="Tahoma"/>
            <family val="2"/>
          </rPr>
          <t xml:space="preserve">
5 Cumple requiasito legal
10 No cumple requisito legal</t>
        </r>
      </text>
    </comment>
    <comment ref="N14" authorId="2" shapeId="0" xr:uid="{00000000-0006-0000-0100-00000C000000}">
      <text>
        <r>
          <rPr>
            <b/>
            <sz val="8"/>
            <color indexed="81"/>
            <rFont val="Tahoma"/>
            <family val="2"/>
          </rPr>
          <t>Mi PC:</t>
        </r>
        <r>
          <rPr>
            <sz val="8"/>
            <color indexed="81"/>
            <rFont val="Tahoma"/>
            <family val="2"/>
          </rPr>
          <t xml:space="preserve">
5 Cumple requiasito legal
10 No cumple requisito legal</t>
        </r>
      </text>
    </comment>
    <comment ref="N15" authorId="2" shapeId="0" xr:uid="{00000000-0006-0000-0100-00000D000000}">
      <text>
        <r>
          <rPr>
            <b/>
            <sz val="8"/>
            <color indexed="81"/>
            <rFont val="Tahoma"/>
            <family val="2"/>
          </rPr>
          <t>Mi PC:</t>
        </r>
        <r>
          <rPr>
            <sz val="8"/>
            <color indexed="81"/>
            <rFont val="Tahoma"/>
            <family val="2"/>
          </rPr>
          <t xml:space="preserve">
5 Cumple requiasito legal
10 No cumple requisito legal</t>
        </r>
      </text>
    </comment>
    <comment ref="N16" authorId="2" shapeId="0" xr:uid="{00000000-0006-0000-0100-00000E000000}">
      <text>
        <r>
          <rPr>
            <b/>
            <sz val="8"/>
            <color indexed="81"/>
            <rFont val="Tahoma"/>
            <family val="2"/>
          </rPr>
          <t>Mi PC:</t>
        </r>
        <r>
          <rPr>
            <sz val="8"/>
            <color indexed="81"/>
            <rFont val="Tahoma"/>
            <family val="2"/>
          </rPr>
          <t xml:space="preserve">
5 Cumple requiasito legal
10 No cumple requisito legal</t>
        </r>
      </text>
    </comment>
  </commentList>
</comments>
</file>

<file path=xl/sharedStrings.xml><?xml version="1.0" encoding="utf-8"?>
<sst xmlns="http://schemas.openxmlformats.org/spreadsheetml/2006/main" count="112" uniqueCount="90">
  <si>
    <t>Frecuencia</t>
  </si>
  <si>
    <t>PROCESO</t>
  </si>
  <si>
    <t>ACTIVIDAD</t>
  </si>
  <si>
    <t>IMPACTO</t>
  </si>
  <si>
    <t>REQUISITO LEGAL</t>
  </si>
  <si>
    <t>Exis. x Cumplim.</t>
  </si>
  <si>
    <t>PARTES INTERESADAS</t>
  </si>
  <si>
    <t>IMPACTOS AMBIENTALES</t>
  </si>
  <si>
    <t>SIGNIFICANCIA</t>
  </si>
  <si>
    <t>OBSERVACIONES</t>
  </si>
  <si>
    <t>MEDIDA DE INTERVENCIÓN</t>
  </si>
  <si>
    <t>ASPECTO</t>
  </si>
  <si>
    <t>IDENTIFICACIÓN</t>
  </si>
  <si>
    <t>Existencia</t>
  </si>
  <si>
    <t>Cumplimiento</t>
  </si>
  <si>
    <t>QUEJAS</t>
  </si>
  <si>
    <t>GESTION</t>
  </si>
  <si>
    <t>Area de influencia</t>
  </si>
  <si>
    <t>Afectación</t>
  </si>
  <si>
    <t>DEFINICION</t>
  </si>
  <si>
    <t>CALIFICACION</t>
  </si>
  <si>
    <t>CRITERIO</t>
  </si>
  <si>
    <t>No existe requisito legal</t>
  </si>
  <si>
    <t>Existe requisito legal</t>
  </si>
  <si>
    <t>No aplica requisito legal</t>
  </si>
  <si>
    <t>Cumple requisito legal</t>
  </si>
  <si>
    <t>No cumple requisito legal</t>
  </si>
  <si>
    <t xml:space="preserve">REQUISITOS LEGALES </t>
  </si>
  <si>
    <t>Hay queja y/o exigencia</t>
  </si>
  <si>
    <t>No hay queja y/o exigencia</t>
  </si>
  <si>
    <t>Tratamiento de las quejas y/o reclamos</t>
  </si>
  <si>
    <t>Tratamiento satisfactorio de la queja y/o reclamo</t>
  </si>
  <si>
    <t>Tratamiento no satisfactorio</t>
  </si>
  <si>
    <t xml:space="preserve">PARTES INTERESADAS </t>
  </si>
  <si>
    <t>2 a 3 veces al año</t>
  </si>
  <si>
    <t>2  a 3  veces al mes</t>
  </si>
  <si>
    <t>Diariamente</t>
  </si>
  <si>
    <t>FRECUENCIA F/P</t>
  </si>
  <si>
    <t xml:space="preserve">AREA DE INFLUENCIA </t>
  </si>
  <si>
    <t>Lugar afectado por el aspecto ambiental</t>
  </si>
  <si>
    <t>El aspecto ambiental es contenido en el área de Actividad</t>
  </si>
  <si>
    <t>Afectación baja</t>
  </si>
  <si>
    <t>Afectación media</t>
  </si>
  <si>
    <t>Afectación alta</t>
  </si>
  <si>
    <t xml:space="preserve">AFECTACION </t>
  </si>
  <si>
    <t>Existencia de requisitos legales que regulen el aspecto ambiental.</t>
  </si>
  <si>
    <t xml:space="preserve"> Cumplimiento de los requisitos legales</t>
  </si>
  <si>
    <t>Exigencias y/o reclamos en términos de quejas de tipo ambiental por parte de terceras  personas</t>
  </si>
  <si>
    <t>Cuando el aspecto ambiental puede generar daños al ambiente</t>
  </si>
  <si>
    <t>F+Area Inf x A</t>
  </si>
  <si>
    <t>Q x G</t>
  </si>
  <si>
    <t>NO SIGNIFICANTES</t>
  </si>
  <si>
    <t xml:space="preserve">Aspectos Ambientales con puntaje igual ó mayor a 75 </t>
  </si>
  <si>
    <t xml:space="preserve">Puntajes mayores ó iguales a 50 y menores a 75 </t>
  </si>
  <si>
    <t xml:space="preserve">Puntajes mayores a 39 y menores a 50 </t>
  </si>
  <si>
    <t xml:space="preserve">Puntajes menores ó iguales a 39 </t>
  </si>
  <si>
    <t>Existencia x Cumplimiento</t>
  </si>
  <si>
    <t>Quejas x Gestión</t>
  </si>
  <si>
    <t>Frecuencia + Área de Influencia x Afectación</t>
  </si>
  <si>
    <t>Total Criterio Partes Interesadas:</t>
  </si>
  <si>
    <t>ES IGUAL A</t>
  </si>
  <si>
    <t>Total Criterio legal:</t>
  </si>
  <si>
    <t xml:space="preserve">ES IGUAL A </t>
  </si>
  <si>
    <t xml:space="preserve">Total Criterio de Impactos Ambientales: </t>
  </si>
  <si>
    <t>AAS = CL* 0.5 + PI* 0.15 + IA*0.35</t>
  </si>
  <si>
    <t xml:space="preserve">SIFNIFICANCIA </t>
  </si>
  <si>
    <t>SIGNIFICANCIA ALTA</t>
  </si>
  <si>
    <t>SIGNIFICANCIA MEDIA</t>
  </si>
  <si>
    <t>SIGNIFICANCIA BAJA</t>
  </si>
  <si>
    <t>El aspecto ambiental esta fuera de la locación</t>
  </si>
  <si>
    <t xml:space="preserve">El aspecto ambiental esta Dentro de la Locacion </t>
  </si>
  <si>
    <t>Número de veces que ocurre el aspecto ambiental en un  determinado tiempo</t>
  </si>
  <si>
    <t xml:space="preserve">ASPECTOS AMBIENTALES </t>
  </si>
  <si>
    <t>No Aplica</t>
  </si>
  <si>
    <t>CRITERIO LEGAL</t>
  </si>
  <si>
    <t>CRITERIO PARTES INTERESADAS</t>
  </si>
  <si>
    <t>CRITERIO IMPACTOS AMBIENTALES</t>
  </si>
  <si>
    <t>PRODUCTO</t>
  </si>
  <si>
    <t xml:space="preserve">CICLO DE VIDA </t>
  </si>
  <si>
    <t>LUGAR</t>
  </si>
  <si>
    <t>TIPO DE IMPACTO</t>
  </si>
  <si>
    <t>POSITIVO</t>
  </si>
  <si>
    <t>NEGATIVO</t>
  </si>
  <si>
    <t>CONDICION DE LA OPERACIÓN</t>
  </si>
  <si>
    <t>IDENTIFICACION DEL ASPECTO</t>
  </si>
  <si>
    <r>
      <rPr>
        <b/>
        <sz val="18"/>
        <color theme="1" tint="4.9989318521683403E-2"/>
        <rFont val="Arial"/>
        <family val="2"/>
      </rPr>
      <t>MATRIZ DE IDENTIFICACION DE ASPECTOS Y EVALUACION DE  IMPACTOS AMBIENTALES</t>
    </r>
    <r>
      <rPr>
        <b/>
        <sz val="14"/>
        <color theme="1" tint="4.9989318521683403E-2"/>
        <rFont val="Arial"/>
        <family val="2"/>
      </rPr>
      <t xml:space="preserve">
</t>
    </r>
  </si>
  <si>
    <t xml:space="preserve">UT-GI-F09 </t>
  </si>
  <si>
    <t>Versión: 0</t>
  </si>
  <si>
    <t>Fecha: 21/09/2019</t>
  </si>
  <si>
    <t>Ultima revisión: Fecha: XX/XX/2020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</si>
</sst>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11"/>
      <color theme="1"/>
      <name val="Arial"/>
      <family val="2"/>
    </font>
    <font>
      <b/>
      <u/>
      <sz val="8"/>
      <color theme="0"/>
      <name val="Arial"/>
      <family val="2"/>
    </font>
    <font>
      <sz val="8"/>
      <color theme="1"/>
      <name val="Arial"/>
      <family val="2"/>
    </font>
    <font>
      <sz val="12"/>
      <color rgb="FF000000"/>
      <name val="Wingdings"/>
      <charset val="2"/>
    </font>
    <font>
      <b/>
      <sz val="12"/>
      <color rgb="FFFF0000"/>
      <name val="Arial"/>
      <family val="2"/>
    </font>
    <font>
      <b/>
      <sz val="11"/>
      <color rgb="FFFF0000"/>
      <name val="Arial"/>
      <family val="2"/>
    </font>
    <font>
      <sz val="11"/>
      <color rgb="FFFF0000"/>
      <name val="Arial"/>
      <family val="2"/>
    </font>
    <font>
      <b/>
      <sz val="11"/>
      <color theme="1"/>
      <name val="Arial"/>
      <family val="2"/>
    </font>
    <font>
      <b/>
      <sz val="8"/>
      <color theme="0"/>
      <name val="Lucida Sans"/>
      <family val="2"/>
    </font>
    <font>
      <b/>
      <sz val="7"/>
      <color theme="0"/>
      <name val="Lucida Sans"/>
      <family val="2"/>
    </font>
    <font>
      <sz val="8"/>
      <color rgb="FF000000"/>
      <name val="Lucida Sans"/>
      <family val="2"/>
    </font>
    <font>
      <sz val="8"/>
      <color rgb="FF000000"/>
      <name val="Arial"/>
      <family val="2"/>
    </font>
    <font>
      <sz val="8"/>
      <color theme="1"/>
      <name val="Lucida Sans"/>
      <family val="2"/>
    </font>
    <font>
      <b/>
      <sz val="24"/>
      <color rgb="FFC00000"/>
      <name val="Arial"/>
      <family val="2"/>
    </font>
    <font>
      <sz val="24"/>
      <color rgb="FFC00000"/>
      <name val="Calibri"/>
      <family val="2"/>
      <scheme val="minor"/>
    </font>
    <font>
      <b/>
      <sz val="9"/>
      <color theme="1"/>
      <name val="Arial"/>
      <family val="2"/>
    </font>
    <font>
      <sz val="10"/>
      <color theme="1"/>
      <name val="Arial"/>
      <family val="2"/>
    </font>
    <font>
      <b/>
      <sz val="16"/>
      <color theme="0"/>
      <name val="Calibri"/>
      <family val="2"/>
      <scheme val="minor"/>
    </font>
    <font>
      <sz val="9"/>
      <color rgb="FF000000"/>
      <name val="Lucida Sans"/>
      <family val="2"/>
    </font>
    <font>
      <b/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Lucida Sans"/>
      <family val="2"/>
    </font>
    <font>
      <b/>
      <sz val="14"/>
      <color theme="1"/>
      <name val="Arial"/>
      <family val="2"/>
    </font>
    <font>
      <b/>
      <sz val="12"/>
      <color rgb="FF000000"/>
      <name val="Lucida Sans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theme="1" tint="4.9989318521683403E-2"/>
      <name val="Arial"/>
      <family val="2"/>
    </font>
    <font>
      <b/>
      <sz val="11"/>
      <color theme="1" tint="4.9989318521683403E-2"/>
      <name val="Calibri"/>
      <family val="2"/>
      <scheme val="minor"/>
    </font>
    <font>
      <b/>
      <sz val="14"/>
      <color theme="1" tint="4.9989318521683403E-2"/>
      <name val="Arial"/>
      <family val="2"/>
    </font>
    <font>
      <b/>
      <sz val="12"/>
      <color theme="1" tint="4.9989318521683403E-2"/>
      <name val="Calibri"/>
      <family val="2"/>
      <scheme val="minor"/>
    </font>
    <font>
      <b/>
      <sz val="12"/>
      <name val="Arial"/>
      <family val="2"/>
    </font>
    <font>
      <sz val="10"/>
      <name val="Arial"/>
      <family val="2"/>
    </font>
    <font>
      <b/>
      <sz val="18"/>
      <color theme="1" tint="4.9989318521683403E-2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indexed="64"/>
      </right>
      <top style="thick">
        <color theme="0"/>
      </top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5" fillId="0" borderId="0"/>
    <xf numFmtId="0" fontId="5" fillId="0" borderId="0"/>
    <xf numFmtId="0" fontId="39" fillId="0" borderId="0"/>
  </cellStyleXfs>
  <cellXfs count="206">
    <xf numFmtId="0" fontId="0" fillId="0" borderId="0" xfId="0"/>
    <xf numFmtId="0" fontId="8" fillId="0" borderId="0" xfId="0" applyFont="1"/>
    <xf numFmtId="0" fontId="8" fillId="0" borderId="0" xfId="0" applyFont="1" applyFill="1" applyBorder="1"/>
    <xf numFmtId="0" fontId="8" fillId="2" borderId="0" xfId="0" applyFont="1" applyFill="1" applyBorder="1"/>
    <xf numFmtId="0" fontId="9" fillId="2" borderId="0" xfId="0" applyFont="1" applyFill="1" applyBorder="1"/>
    <xf numFmtId="0" fontId="9" fillId="0" borderId="0" xfId="0" applyFont="1" applyFill="1" applyBorder="1"/>
    <xf numFmtId="0" fontId="10" fillId="0" borderId="0" xfId="0" applyFont="1" applyFill="1" applyBorder="1" applyAlignment="1">
      <alignment horizontal="center" vertical="top" wrapText="1"/>
    </xf>
    <xf numFmtId="0" fontId="10" fillId="0" borderId="0" xfId="0" applyFont="1" applyFill="1" applyBorder="1" applyAlignment="1">
      <alignment vertical="top" wrapText="1"/>
    </xf>
    <xf numFmtId="0" fontId="10" fillId="0" borderId="0" xfId="0" applyFont="1" applyFill="1" applyBorder="1" applyAlignment="1">
      <alignment horizontal="left" vertical="top" wrapText="1" indent="2"/>
    </xf>
    <xf numFmtId="0" fontId="11" fillId="0" borderId="0" xfId="0" applyFont="1" applyAlignment="1">
      <alignment horizontal="justify"/>
    </xf>
    <xf numFmtId="0" fontId="0" fillId="2" borderId="0" xfId="0" applyFill="1"/>
    <xf numFmtId="0" fontId="12" fillId="2" borderId="0" xfId="0" applyFont="1" applyFill="1" applyAlignment="1">
      <alignment horizontal="justify"/>
    </xf>
    <xf numFmtId="0" fontId="13" fillId="2" borderId="0" xfId="0" applyFont="1" applyFill="1" applyAlignment="1">
      <alignment horizontal="justify"/>
    </xf>
    <xf numFmtId="0" fontId="14" fillId="2" borderId="0" xfId="0" applyFont="1" applyFill="1" applyAlignment="1">
      <alignment horizontal="justify"/>
    </xf>
    <xf numFmtId="0" fontId="0" fillId="2" borderId="0" xfId="0" applyFill="1" applyAlignment="1">
      <alignment wrapText="1"/>
    </xf>
    <xf numFmtId="0" fontId="8" fillId="0" borderId="9" xfId="0" applyFont="1" applyBorder="1"/>
    <xf numFmtId="0" fontId="6" fillId="4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center" vertical="center"/>
    </xf>
    <xf numFmtId="0" fontId="15" fillId="6" borderId="10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6" fillId="8" borderId="14" xfId="0" applyFont="1" applyFill="1" applyBorder="1" applyAlignment="1">
      <alignment horizontal="center" vertical="center" wrapText="1"/>
    </xf>
    <xf numFmtId="0" fontId="17" fillId="8" borderId="1" xfId="0" applyFont="1" applyFill="1" applyBorder="1" applyAlignment="1">
      <alignment horizontal="center" vertical="center" wrapText="1"/>
    </xf>
    <xf numFmtId="0" fontId="16" fillId="8" borderId="1" xfId="0" applyFont="1" applyFill="1" applyBorder="1" applyAlignment="1">
      <alignment horizontal="center" vertical="center" wrapText="1"/>
    </xf>
    <xf numFmtId="0" fontId="0" fillId="2" borderId="12" xfId="0" applyFill="1" applyBorder="1"/>
    <xf numFmtId="0" fontId="0" fillId="2" borderId="9" xfId="0" applyFill="1" applyBorder="1"/>
    <xf numFmtId="0" fontId="0" fillId="2" borderId="15" xfId="0" applyFill="1" applyBorder="1"/>
    <xf numFmtId="0" fontId="17" fillId="8" borderId="11" xfId="0" applyFont="1" applyFill="1" applyBorder="1" applyAlignment="1">
      <alignment horizontal="center" vertical="center" wrapText="1"/>
    </xf>
    <xf numFmtId="0" fontId="0" fillId="2" borderId="14" xfId="0" applyFill="1" applyBorder="1"/>
    <xf numFmtId="0" fontId="0" fillId="2" borderId="5" xfId="0" applyFill="1" applyBorder="1"/>
    <xf numFmtId="0" fontId="0" fillId="2" borderId="1" xfId="0" applyFill="1" applyBorder="1"/>
    <xf numFmtId="0" fontId="0" fillId="2" borderId="6" xfId="0" applyFill="1" applyBorder="1"/>
    <xf numFmtId="0" fontId="16" fillId="8" borderId="10" xfId="0" applyFont="1" applyFill="1" applyBorder="1" applyAlignment="1">
      <alignment horizontal="center" vertical="center" wrapText="1"/>
    </xf>
    <xf numFmtId="0" fontId="16" fillId="8" borderId="7" xfId="0" applyFont="1" applyFill="1" applyBorder="1" applyAlignment="1">
      <alignment horizontal="center" vertical="center" wrapText="1"/>
    </xf>
    <xf numFmtId="0" fontId="16" fillId="8" borderId="13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7" fillId="8" borderId="9" xfId="0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 wrapText="1"/>
    </xf>
    <xf numFmtId="0" fontId="0" fillId="2" borderId="8" xfId="0" applyFill="1" applyBorder="1"/>
    <xf numFmtId="0" fontId="18" fillId="3" borderId="1" xfId="0" applyFont="1" applyFill="1" applyBorder="1" applyAlignment="1">
      <alignment horizontal="center" wrapText="1"/>
    </xf>
    <xf numFmtId="0" fontId="18" fillId="3" borderId="5" xfId="0" applyFont="1" applyFill="1" applyBorder="1" applyAlignment="1">
      <alignment horizontal="center" wrapText="1"/>
    </xf>
    <xf numFmtId="0" fontId="18" fillId="3" borderId="11" xfId="0" applyFont="1" applyFill="1" applyBorder="1" applyAlignment="1">
      <alignment horizontal="center" wrapText="1"/>
    </xf>
    <xf numFmtId="0" fontId="18" fillId="3" borderId="4" xfId="0" applyFont="1" applyFill="1" applyBorder="1" applyAlignment="1">
      <alignment horizontal="center" wrapText="1"/>
    </xf>
    <xf numFmtId="0" fontId="18" fillId="3" borderId="0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1" xfId="0" applyFont="1" applyFill="1" applyBorder="1" applyAlignment="1">
      <alignment horizontal="center" vertical="center" wrapText="1"/>
    </xf>
    <xf numFmtId="0" fontId="19" fillId="3" borderId="11" xfId="0" applyFont="1" applyFill="1" applyBorder="1" applyAlignment="1">
      <alignment horizontal="center" vertical="center" wrapText="1"/>
    </xf>
    <xf numFmtId="0" fontId="18" fillId="3" borderId="6" xfId="0" applyFont="1" applyFill="1" applyBorder="1" applyAlignment="1">
      <alignment horizontal="center" vertical="center" wrapText="1"/>
    </xf>
    <xf numFmtId="0" fontId="20" fillId="3" borderId="1" xfId="0" applyFont="1" applyFill="1" applyBorder="1" applyAlignment="1">
      <alignment horizontal="justify" vertical="center" wrapText="1"/>
    </xf>
    <xf numFmtId="0" fontId="18" fillId="3" borderId="3" xfId="0" applyFont="1" applyFill="1" applyBorder="1" applyAlignment="1">
      <alignment horizontal="center" vertical="center" wrapText="1"/>
    </xf>
    <xf numFmtId="0" fontId="18" fillId="3" borderId="11" xfId="0" applyFont="1" applyFill="1" applyBorder="1" applyAlignment="1">
      <alignment horizontal="justify" vertical="center" wrapText="1"/>
    </xf>
    <xf numFmtId="0" fontId="0" fillId="3" borderId="14" xfId="0" applyFill="1" applyBorder="1" applyAlignment="1">
      <alignment wrapText="1"/>
    </xf>
    <xf numFmtId="0" fontId="18" fillId="3" borderId="1" xfId="0" applyFont="1" applyFill="1" applyBorder="1" applyAlignment="1">
      <alignment horizontal="justify" wrapText="1"/>
    </xf>
    <xf numFmtId="0" fontId="18" fillId="3" borderId="10" xfId="0" applyFont="1" applyFill="1" applyBorder="1" applyAlignment="1">
      <alignment horizontal="center" wrapText="1"/>
    </xf>
    <xf numFmtId="0" fontId="18" fillId="3" borderId="10" xfId="0" applyFont="1" applyFill="1" applyBorder="1" applyAlignment="1">
      <alignment horizontal="justify" wrapText="1"/>
    </xf>
    <xf numFmtId="0" fontId="21" fillId="2" borderId="0" xfId="0" applyFont="1" applyFill="1" applyAlignment="1">
      <alignment horizontal="left" vertical="center"/>
    </xf>
    <xf numFmtId="0" fontId="22" fillId="2" borderId="0" xfId="0" applyFont="1" applyFill="1"/>
    <xf numFmtId="0" fontId="22" fillId="2" borderId="0" xfId="0" applyFont="1" applyFill="1" applyBorder="1"/>
    <xf numFmtId="0" fontId="5" fillId="2" borderId="20" xfId="0" applyFont="1" applyFill="1" applyBorder="1" applyAlignment="1">
      <alignment horizontal="center" vertical="center" wrapText="1"/>
    </xf>
    <xf numFmtId="0" fontId="5" fillId="3" borderId="20" xfId="0" applyFont="1" applyFill="1" applyBorder="1" applyAlignment="1">
      <alignment horizontal="center" vertical="center" wrapText="1"/>
    </xf>
    <xf numFmtId="1" fontId="5" fillId="3" borderId="20" xfId="0" applyNumberFormat="1" applyFont="1" applyFill="1" applyBorder="1" applyAlignment="1">
      <alignment horizontal="center" vertical="center" wrapText="1"/>
    </xf>
    <xf numFmtId="0" fontId="5" fillId="5" borderId="20" xfId="0" applyFont="1" applyFill="1" applyBorder="1" applyAlignment="1">
      <alignment horizontal="center" vertical="center" wrapText="1"/>
    </xf>
    <xf numFmtId="0" fontId="5" fillId="0" borderId="20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 wrapText="1"/>
    </xf>
    <xf numFmtId="0" fontId="5" fillId="3" borderId="21" xfId="0" applyFont="1" applyFill="1" applyBorder="1" applyAlignment="1">
      <alignment horizontal="center" vertical="center" wrapText="1"/>
    </xf>
    <xf numFmtId="0" fontId="5" fillId="0" borderId="21" xfId="0" applyFont="1" applyFill="1" applyBorder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textRotation="90" wrapText="1"/>
    </xf>
    <xf numFmtId="0" fontId="38" fillId="2" borderId="0" xfId="0" applyFont="1" applyFill="1" applyBorder="1" applyAlignment="1">
      <alignment horizontal="center" vertical="center" textRotation="90" wrapText="1"/>
    </xf>
    <xf numFmtId="0" fontId="5" fillId="2" borderId="0" xfId="0" applyFont="1" applyFill="1" applyBorder="1" applyAlignment="1">
      <alignment horizontal="center" vertical="center" textRotation="90" wrapText="1"/>
    </xf>
    <xf numFmtId="0" fontId="5" fillId="2" borderId="0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5" fillId="2" borderId="20" xfId="0" applyFont="1" applyFill="1" applyBorder="1" applyAlignment="1">
      <alignment horizontal="center" vertical="center" textRotation="90" wrapText="1"/>
    </xf>
    <xf numFmtId="0" fontId="5" fillId="2" borderId="21" xfId="0" applyFont="1" applyFill="1" applyBorder="1" applyAlignment="1">
      <alignment horizontal="center" vertical="center" textRotation="90" wrapText="1"/>
    </xf>
    <xf numFmtId="0" fontId="5" fillId="2" borderId="22" xfId="0" applyFont="1" applyFill="1" applyBorder="1" applyAlignment="1">
      <alignment horizontal="center" vertical="center" textRotation="90" wrapText="1"/>
    </xf>
    <xf numFmtId="0" fontId="5" fillId="2" borderId="21" xfId="0" applyFont="1" applyFill="1" applyBorder="1" applyAlignment="1">
      <alignment horizontal="center" vertical="center" wrapText="1"/>
    </xf>
    <xf numFmtId="0" fontId="5" fillId="2" borderId="22" xfId="0" applyFont="1" applyFill="1" applyBorder="1" applyAlignment="1">
      <alignment horizontal="center" vertical="center" wrapText="1"/>
    </xf>
    <xf numFmtId="0" fontId="5" fillId="2" borderId="33" xfId="0" applyFont="1" applyFill="1" applyBorder="1" applyAlignment="1">
      <alignment horizontal="center" vertical="center" textRotation="90" wrapText="1"/>
    </xf>
    <xf numFmtId="0" fontId="5" fillId="2" borderId="31" xfId="0" applyFont="1" applyFill="1" applyBorder="1" applyAlignment="1">
      <alignment horizontal="center" vertical="center" textRotation="90" wrapText="1"/>
    </xf>
    <xf numFmtId="0" fontId="5" fillId="2" borderId="33" xfId="0" applyFont="1" applyFill="1" applyBorder="1" applyAlignment="1">
      <alignment vertical="center" textRotation="90" wrapText="1"/>
    </xf>
    <xf numFmtId="0" fontId="5" fillId="2" borderId="20" xfId="0" applyFont="1" applyFill="1" applyBorder="1" applyAlignment="1">
      <alignment horizontal="center" vertical="top" wrapText="1"/>
    </xf>
    <xf numFmtId="0" fontId="37" fillId="9" borderId="14" xfId="0" applyFont="1" applyFill="1" applyBorder="1" applyAlignment="1">
      <alignment horizontal="center" vertical="center"/>
    </xf>
    <xf numFmtId="0" fontId="37" fillId="9" borderId="6" xfId="0" applyFont="1" applyFill="1" applyBorder="1" applyAlignment="1">
      <alignment horizontal="center" vertical="center"/>
    </xf>
    <xf numFmtId="0" fontId="37" fillId="9" borderId="5" xfId="0" applyFont="1" applyFill="1" applyBorder="1" applyAlignment="1">
      <alignment horizontal="center" vertical="center"/>
    </xf>
    <xf numFmtId="0" fontId="26" fillId="3" borderId="7" xfId="0" applyFont="1" applyFill="1" applyBorder="1" applyAlignment="1">
      <alignment horizontal="center" vertical="center" wrapText="1"/>
    </xf>
    <xf numFmtId="0" fontId="26" fillId="3" borderId="10" xfId="0" applyFont="1" applyFill="1" applyBorder="1" applyAlignment="1">
      <alignment horizontal="center" vertical="center" wrapText="1"/>
    </xf>
    <xf numFmtId="0" fontId="26" fillId="3" borderId="11" xfId="0" applyFont="1" applyFill="1" applyBorder="1" applyAlignment="1">
      <alignment horizontal="center" vertical="center" wrapText="1"/>
    </xf>
    <xf numFmtId="0" fontId="26" fillId="3" borderId="8" xfId="0" applyFont="1" applyFill="1" applyBorder="1" applyAlignment="1">
      <alignment horizontal="center" vertical="center" wrapText="1"/>
    </xf>
    <xf numFmtId="0" fontId="26" fillId="3" borderId="2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27" fillId="2" borderId="0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 wrapText="1"/>
    </xf>
    <xf numFmtId="0" fontId="18" fillId="3" borderId="10" xfId="0" applyFont="1" applyFill="1" applyBorder="1" applyAlignment="1">
      <alignment horizontal="center" vertical="center" wrapText="1"/>
    </xf>
    <xf numFmtId="0" fontId="18" fillId="3" borderId="7" xfId="0" applyFont="1" applyFill="1" applyBorder="1" applyAlignment="1">
      <alignment horizontal="justify" vertical="center" wrapText="1"/>
    </xf>
    <xf numFmtId="0" fontId="18" fillId="3" borderId="11" xfId="0" applyFont="1" applyFill="1" applyBorder="1" applyAlignment="1">
      <alignment horizontal="justify" vertical="center" wrapText="1"/>
    </xf>
    <xf numFmtId="0" fontId="35" fillId="11" borderId="14" xfId="0" applyFont="1" applyFill="1" applyBorder="1" applyAlignment="1">
      <alignment horizontal="center" vertical="center"/>
    </xf>
    <xf numFmtId="0" fontId="35" fillId="11" borderId="6" xfId="0" applyFont="1" applyFill="1" applyBorder="1" applyAlignment="1">
      <alignment horizontal="center" vertical="center"/>
    </xf>
    <xf numFmtId="0" fontId="35" fillId="11" borderId="5" xfId="0" applyFont="1" applyFill="1" applyBorder="1" applyAlignment="1">
      <alignment horizontal="center" vertical="center"/>
    </xf>
    <xf numFmtId="0" fontId="37" fillId="9" borderId="12" xfId="0" applyFont="1" applyFill="1" applyBorder="1" applyAlignment="1">
      <alignment horizontal="center" vertical="center"/>
    </xf>
    <xf numFmtId="0" fontId="37" fillId="9" borderId="9" xfId="0" applyFont="1" applyFill="1" applyBorder="1" applyAlignment="1">
      <alignment horizontal="center" vertical="center"/>
    </xf>
    <xf numFmtId="0" fontId="37" fillId="9" borderId="15" xfId="0" applyFont="1" applyFill="1" applyBorder="1" applyAlignment="1">
      <alignment horizontal="center" vertical="center"/>
    </xf>
    <xf numFmtId="0" fontId="37" fillId="9" borderId="2" xfId="0" applyFont="1" applyFill="1" applyBorder="1" applyAlignment="1">
      <alignment horizontal="center" vertical="center"/>
    </xf>
    <xf numFmtId="0" fontId="37" fillId="9" borderId="3" xfId="0" applyFont="1" applyFill="1" applyBorder="1" applyAlignment="1">
      <alignment horizontal="center" vertical="center"/>
    </xf>
    <xf numFmtId="0" fontId="37" fillId="9" borderId="4" xfId="0" applyFont="1" applyFill="1" applyBorder="1" applyAlignment="1">
      <alignment horizontal="center" vertical="center"/>
    </xf>
    <xf numFmtId="0" fontId="28" fillId="3" borderId="7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 wrapText="1"/>
    </xf>
    <xf numFmtId="0" fontId="28" fillId="3" borderId="11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11" xfId="0" applyFont="1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 wrapText="1"/>
    </xf>
    <xf numFmtId="0" fontId="29" fillId="3" borderId="7" xfId="0" applyFont="1" applyFill="1" applyBorder="1" applyAlignment="1">
      <alignment horizontal="center" vertical="center" wrapText="1"/>
    </xf>
    <xf numFmtId="0" fontId="29" fillId="3" borderId="10" xfId="0" applyFont="1" applyFill="1" applyBorder="1" applyAlignment="1">
      <alignment horizontal="center" vertical="center" wrapText="1"/>
    </xf>
    <xf numFmtId="0" fontId="29" fillId="3" borderId="11" xfId="0" applyFont="1" applyFill="1" applyBorder="1" applyAlignment="1">
      <alignment horizontal="center" vertical="center" wrapText="1"/>
    </xf>
    <xf numFmtId="0" fontId="18" fillId="3" borderId="8" xfId="0" applyFont="1" applyFill="1" applyBorder="1" applyAlignment="1">
      <alignment horizontal="center" vertical="center" wrapText="1"/>
    </xf>
    <xf numFmtId="0" fontId="18" fillId="3" borderId="11" xfId="0" applyFont="1" applyFill="1" applyBorder="1" applyAlignment="1">
      <alignment horizontal="center" vertical="center" wrapText="1"/>
    </xf>
    <xf numFmtId="0" fontId="18" fillId="3" borderId="12" xfId="0" applyFont="1" applyFill="1" applyBorder="1" applyAlignment="1">
      <alignment horizontal="center" vertical="center" wrapText="1"/>
    </xf>
    <xf numFmtId="0" fontId="18" fillId="3" borderId="2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justify" vertical="center" wrapText="1"/>
    </xf>
    <xf numFmtId="0" fontId="1" fillId="3" borderId="15" xfId="0" applyFont="1" applyFill="1" applyBorder="1" applyAlignment="1">
      <alignment horizontal="justify" vertical="center" wrapText="1"/>
    </xf>
    <xf numFmtId="0" fontId="1" fillId="3" borderId="2" xfId="0" applyFont="1" applyFill="1" applyBorder="1" applyAlignment="1">
      <alignment horizontal="justify" vertical="center" wrapText="1"/>
    </xf>
    <xf numFmtId="0" fontId="1" fillId="3" borderId="4" xfId="0" applyFont="1" applyFill="1" applyBorder="1" applyAlignment="1">
      <alignment horizontal="justify" vertical="center" wrapText="1"/>
    </xf>
    <xf numFmtId="0" fontId="27" fillId="2" borderId="0" xfId="0" applyFont="1" applyFill="1" applyAlignment="1">
      <alignment horizontal="center" vertical="center"/>
    </xf>
    <xf numFmtId="0" fontId="8" fillId="3" borderId="16" xfId="0" applyFont="1" applyFill="1" applyBorder="1" applyAlignment="1">
      <alignment horizontal="left"/>
    </xf>
    <xf numFmtId="0" fontId="8" fillId="3" borderId="17" xfId="0" applyFont="1" applyFill="1" applyBorder="1" applyAlignment="1">
      <alignment horizontal="left"/>
    </xf>
    <xf numFmtId="0" fontId="8" fillId="3" borderId="18" xfId="0" applyFont="1" applyFill="1" applyBorder="1" applyAlignment="1">
      <alignment horizontal="left"/>
    </xf>
    <xf numFmtId="0" fontId="8" fillId="3" borderId="19" xfId="0" applyFont="1" applyFill="1" applyBorder="1" applyAlignment="1">
      <alignment horizontal="left"/>
    </xf>
    <xf numFmtId="0" fontId="30" fillId="3" borderId="7" xfId="0" applyFont="1" applyFill="1" applyBorder="1" applyAlignment="1">
      <alignment horizontal="center" vertical="center"/>
    </xf>
    <xf numFmtId="0" fontId="30" fillId="3" borderId="11" xfId="0" applyFont="1" applyFill="1" applyBorder="1" applyAlignment="1">
      <alignment horizontal="center" vertical="center"/>
    </xf>
    <xf numFmtId="0" fontId="31" fillId="3" borderId="12" xfId="0" applyFont="1" applyFill="1" applyBorder="1" applyAlignment="1">
      <alignment horizontal="center" vertical="center"/>
    </xf>
    <xf numFmtId="0" fontId="31" fillId="3" borderId="9" xfId="0" applyFont="1" applyFill="1" applyBorder="1" applyAlignment="1">
      <alignment horizontal="center" vertical="center"/>
    </xf>
    <xf numFmtId="0" fontId="31" fillId="3" borderId="15" xfId="0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/>
    </xf>
    <xf numFmtId="0" fontId="31" fillId="3" borderId="3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/>
    </xf>
    <xf numFmtId="0" fontId="36" fillId="2" borderId="21" xfId="0" applyFont="1" applyFill="1" applyBorder="1" applyAlignment="1">
      <alignment horizontal="center" vertical="center" wrapText="1"/>
    </xf>
    <xf numFmtId="0" fontId="36" fillId="2" borderId="22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 wrapText="1"/>
    </xf>
    <xf numFmtId="0" fontId="5" fillId="2" borderId="22" xfId="0" applyFont="1" applyFill="1" applyBorder="1" applyAlignment="1">
      <alignment horizontal="center" vertical="center" wrapText="1"/>
    </xf>
    <xf numFmtId="0" fontId="38" fillId="2" borderId="20" xfId="0" applyFont="1" applyFill="1" applyBorder="1" applyAlignment="1">
      <alignment horizontal="center" vertical="center" textRotation="90" wrapText="1"/>
    </xf>
    <xf numFmtId="0" fontId="34" fillId="12" borderId="20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vertical="center" textRotation="90" wrapText="1"/>
    </xf>
    <xf numFmtId="0" fontId="5" fillId="2" borderId="22" xfId="0" applyFont="1" applyFill="1" applyBorder="1" applyAlignment="1">
      <alignment horizontal="center" vertical="center" textRotation="90" wrapText="1"/>
    </xf>
    <xf numFmtId="0" fontId="5" fillId="2" borderId="23" xfId="0" applyFont="1" applyFill="1" applyBorder="1" applyAlignment="1">
      <alignment horizontal="center" vertical="center" wrapText="1"/>
    </xf>
    <xf numFmtId="0" fontId="34" fillId="12" borderId="20" xfId="0" applyFont="1" applyFill="1" applyBorder="1" applyAlignment="1">
      <alignment horizontal="center" vertical="center" textRotation="90" wrapText="1"/>
    </xf>
    <xf numFmtId="0" fontId="34" fillId="12" borderId="24" xfId="0" applyFont="1" applyFill="1" applyBorder="1" applyAlignment="1">
      <alignment horizontal="center" vertical="center" wrapText="1"/>
    </xf>
    <xf numFmtId="0" fontId="34" fillId="12" borderId="25" xfId="0" applyFont="1" applyFill="1" applyBorder="1" applyAlignment="1">
      <alignment horizontal="center" vertical="center" wrapText="1"/>
    </xf>
    <xf numFmtId="0" fontId="34" fillId="12" borderId="26" xfId="0" applyFont="1" applyFill="1" applyBorder="1" applyAlignment="1">
      <alignment horizontal="center" vertical="center" wrapText="1"/>
    </xf>
    <xf numFmtId="0" fontId="34" fillId="12" borderId="29" xfId="0" applyFont="1" applyFill="1" applyBorder="1" applyAlignment="1">
      <alignment horizontal="center" vertical="center" wrapText="1"/>
    </xf>
    <xf numFmtId="0" fontId="34" fillId="12" borderId="30" xfId="0" applyFont="1" applyFill="1" applyBorder="1" applyAlignment="1">
      <alignment horizontal="center" vertical="center" wrapText="1"/>
    </xf>
    <xf numFmtId="0" fontId="34" fillId="12" borderId="31" xfId="0" applyFont="1" applyFill="1" applyBorder="1" applyAlignment="1">
      <alignment horizontal="center" vertical="center" wrapText="1"/>
    </xf>
    <xf numFmtId="0" fontId="5" fillId="2" borderId="21" xfId="0" applyFont="1" applyFill="1" applyBorder="1" applyAlignment="1">
      <alignment horizontal="center" wrapText="1"/>
    </xf>
    <xf numFmtId="0" fontId="5" fillId="2" borderId="22" xfId="0" applyFont="1" applyFill="1" applyBorder="1" applyAlignment="1">
      <alignment horizontal="center" wrapText="1"/>
    </xf>
    <xf numFmtId="0" fontId="5" fillId="2" borderId="33" xfId="0" applyFont="1" applyFill="1" applyBorder="1" applyAlignment="1">
      <alignment horizontal="center" vertical="center" textRotation="90" wrapText="1"/>
    </xf>
    <xf numFmtId="0" fontId="5" fillId="2" borderId="20" xfId="0" applyFont="1" applyFill="1" applyBorder="1" applyAlignment="1">
      <alignment horizontal="center" vertical="center" textRotation="90" wrapText="1"/>
    </xf>
    <xf numFmtId="0" fontId="5" fillId="2" borderId="23" xfId="0" applyFont="1" applyFill="1" applyBorder="1" applyAlignment="1">
      <alignment horizontal="center" vertical="center" textRotation="90" wrapText="1"/>
    </xf>
    <xf numFmtId="0" fontId="23" fillId="7" borderId="14" xfId="0" applyFont="1" applyFill="1" applyBorder="1" applyAlignment="1">
      <alignment horizontal="center" vertical="center"/>
    </xf>
    <xf numFmtId="0" fontId="23" fillId="7" borderId="6" xfId="0" applyFont="1" applyFill="1" applyBorder="1" applyAlignment="1">
      <alignment horizontal="center" vertical="center"/>
    </xf>
    <xf numFmtId="0" fontId="23" fillId="7" borderId="5" xfId="0" applyFont="1" applyFill="1" applyBorder="1" applyAlignment="1">
      <alignment horizontal="center" vertical="center"/>
    </xf>
    <xf numFmtId="0" fontId="24" fillId="3" borderId="2" xfId="0" applyFont="1" applyFill="1" applyBorder="1" applyAlignment="1">
      <alignment horizontal="left"/>
    </xf>
    <xf numFmtId="0" fontId="24" fillId="3" borderId="3" xfId="0" applyFont="1" applyFill="1" applyBorder="1" applyAlignment="1">
      <alignment horizontal="left"/>
    </xf>
    <xf numFmtId="0" fontId="24" fillId="3" borderId="4" xfId="0" applyFont="1" applyFill="1" applyBorder="1" applyAlignment="1">
      <alignment horizontal="left"/>
    </xf>
    <xf numFmtId="0" fontId="24" fillId="3" borderId="14" xfId="0" applyFont="1" applyFill="1" applyBorder="1" applyAlignment="1">
      <alignment horizontal="left"/>
    </xf>
    <xf numFmtId="0" fontId="24" fillId="3" borderId="6" xfId="0" applyFont="1" applyFill="1" applyBorder="1" applyAlignment="1">
      <alignment horizontal="left"/>
    </xf>
    <xf numFmtId="0" fontId="24" fillId="3" borderId="5" xfId="0" applyFont="1" applyFill="1" applyBorder="1" applyAlignment="1">
      <alignment horizontal="left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23" fillId="10" borderId="14" xfId="0" applyFont="1" applyFill="1" applyBorder="1" applyAlignment="1">
      <alignment horizontal="center" vertical="center"/>
    </xf>
    <xf numFmtId="0" fontId="23" fillId="10" borderId="6" xfId="0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center" vertical="center"/>
    </xf>
    <xf numFmtId="0" fontId="23" fillId="5" borderId="14" xfId="0" applyFont="1" applyFill="1" applyBorder="1" applyAlignment="1">
      <alignment horizontal="center" vertical="center"/>
    </xf>
    <xf numFmtId="0" fontId="23" fillId="5" borderId="6" xfId="0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/>
    </xf>
    <xf numFmtId="0" fontId="25" fillId="2" borderId="20" xfId="0" applyFont="1" applyFill="1" applyBorder="1" applyAlignment="1">
      <alignment horizontal="center"/>
    </xf>
    <xf numFmtId="0" fontId="36" fillId="2" borderId="20" xfId="0" applyFont="1" applyFill="1" applyBorder="1" applyAlignment="1">
      <alignment horizontal="center" vertical="center" wrapText="1"/>
    </xf>
    <xf numFmtId="0" fontId="34" fillId="12" borderId="21" xfId="0" applyFont="1" applyFill="1" applyBorder="1" applyAlignment="1">
      <alignment horizontal="center" vertical="center" textRotation="90" wrapText="1"/>
    </xf>
    <xf numFmtId="0" fontId="34" fillId="12" borderId="21" xfId="0" applyFont="1" applyFill="1" applyBorder="1" applyAlignment="1">
      <alignment horizontal="center" vertical="center" wrapText="1"/>
    </xf>
    <xf numFmtId="0" fontId="34" fillId="12" borderId="22" xfId="0" applyFont="1" applyFill="1" applyBorder="1" applyAlignment="1">
      <alignment horizontal="center" vertical="center" wrapText="1"/>
    </xf>
    <xf numFmtId="0" fontId="36" fillId="2" borderId="24" xfId="0" applyFont="1" applyFill="1" applyBorder="1" applyAlignment="1">
      <alignment horizontal="center" vertical="center" wrapText="1"/>
    </xf>
    <xf numFmtId="0" fontId="36" fillId="2" borderId="25" xfId="0" applyFont="1" applyFill="1" applyBorder="1" applyAlignment="1">
      <alignment horizontal="center" vertical="center" wrapText="1"/>
    </xf>
    <xf numFmtId="0" fontId="36" fillId="2" borderId="26" xfId="0" applyFont="1" applyFill="1" applyBorder="1" applyAlignment="1">
      <alignment horizontal="center" vertical="center" wrapText="1"/>
    </xf>
    <xf numFmtId="0" fontId="36" fillId="2" borderId="27" xfId="0" applyFont="1" applyFill="1" applyBorder="1" applyAlignment="1">
      <alignment horizontal="center" vertical="center" wrapText="1"/>
    </xf>
    <xf numFmtId="0" fontId="36" fillId="2" borderId="0" xfId="0" applyFont="1" applyFill="1" applyBorder="1" applyAlignment="1">
      <alignment horizontal="center" vertical="center" wrapText="1"/>
    </xf>
    <xf numFmtId="0" fontId="36" fillId="2" borderId="28" xfId="0" applyFont="1" applyFill="1" applyBorder="1" applyAlignment="1">
      <alignment horizontal="center" vertical="center" wrapText="1"/>
    </xf>
    <xf numFmtId="0" fontId="36" fillId="2" borderId="29" xfId="0" applyFont="1" applyFill="1" applyBorder="1" applyAlignment="1">
      <alignment horizontal="center" vertical="center" wrapText="1"/>
    </xf>
    <xf numFmtId="0" fontId="36" fillId="2" borderId="30" xfId="0" applyFont="1" applyFill="1" applyBorder="1" applyAlignment="1">
      <alignment horizontal="center" vertical="center" wrapText="1"/>
    </xf>
    <xf numFmtId="0" fontId="36" fillId="2" borderId="31" xfId="0" applyFont="1" applyFill="1" applyBorder="1" applyAlignment="1">
      <alignment horizontal="center" vertical="center" wrapText="1"/>
    </xf>
    <xf numFmtId="0" fontId="25" fillId="2" borderId="24" xfId="0" applyFont="1" applyFill="1" applyBorder="1" applyAlignment="1">
      <alignment horizontal="center"/>
    </xf>
    <xf numFmtId="0" fontId="25" fillId="2" borderId="25" xfId="0" applyFont="1" applyFill="1" applyBorder="1" applyAlignment="1">
      <alignment horizontal="center"/>
    </xf>
    <xf numFmtId="0" fontId="25" fillId="2" borderId="26" xfId="0" applyFont="1" applyFill="1" applyBorder="1" applyAlignment="1">
      <alignment horizontal="center"/>
    </xf>
    <xf numFmtId="0" fontId="25" fillId="2" borderId="27" xfId="0" applyFont="1" applyFill="1" applyBorder="1" applyAlignment="1">
      <alignment horizontal="center"/>
    </xf>
    <xf numFmtId="0" fontId="25" fillId="2" borderId="0" xfId="0" applyFont="1" applyFill="1" applyBorder="1" applyAlignment="1">
      <alignment horizontal="center"/>
    </xf>
    <xf numFmtId="0" fontId="25" fillId="2" borderId="28" xfId="0" applyFont="1" applyFill="1" applyBorder="1" applyAlignment="1">
      <alignment horizontal="center"/>
    </xf>
    <xf numFmtId="0" fontId="25" fillId="2" borderId="29" xfId="0" applyFont="1" applyFill="1" applyBorder="1" applyAlignment="1">
      <alignment horizontal="center"/>
    </xf>
    <xf numFmtId="0" fontId="25" fillId="2" borderId="30" xfId="0" applyFont="1" applyFill="1" applyBorder="1" applyAlignment="1">
      <alignment horizontal="center"/>
    </xf>
    <xf numFmtId="0" fontId="25" fillId="2" borderId="31" xfId="0" applyFont="1" applyFill="1" applyBorder="1" applyAlignment="1">
      <alignment horizontal="center"/>
    </xf>
    <xf numFmtId="0" fontId="5" fillId="2" borderId="26" xfId="0" applyFont="1" applyFill="1" applyBorder="1" applyAlignment="1">
      <alignment horizontal="center" vertical="center" textRotation="90" wrapText="1"/>
    </xf>
    <xf numFmtId="0" fontId="5" fillId="2" borderId="31" xfId="0" applyFont="1" applyFill="1" applyBorder="1" applyAlignment="1">
      <alignment horizontal="center" vertical="center" textRotation="90" wrapText="1"/>
    </xf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</cellStyles>
  <dxfs count="19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258305</xdr:colOff>
      <xdr:row>1</xdr:row>
      <xdr:rowOff>258306</xdr:rowOff>
    </xdr:from>
    <xdr:to>
      <xdr:col>6</xdr:col>
      <xdr:colOff>1840481</xdr:colOff>
      <xdr:row>5</xdr:row>
      <xdr:rowOff>209873</xdr:rowOff>
    </xdr:to>
    <xdr:pic>
      <xdr:nvPicPr>
        <xdr:cNvPr id="4" name="Imagen 5">
          <a:extLst>
            <a:ext uri="{FF2B5EF4-FFF2-40B4-BE49-F238E27FC236}">
              <a16:creationId xmlns:a16="http://schemas.microsoft.com/office/drawing/2014/main" id="{50450429-FF5E-44B6-85D6-3B69ED8D58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966" y="258306"/>
          <a:ext cx="3358023" cy="106550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N55"/>
  <sheetViews>
    <sheetView showGridLines="0" showRowColHeaders="0" topLeftCell="A22" zoomScale="75" zoomScaleNormal="75" workbookViewId="0">
      <selection activeCell="I10" sqref="I10"/>
    </sheetView>
  </sheetViews>
  <sheetFormatPr baseColWidth="10" defaultColWidth="11.42578125" defaultRowHeight="31.5" x14ac:dyDescent="0.5"/>
  <cols>
    <col min="1" max="1" width="7.42578125" style="10" customWidth="1"/>
    <col min="2" max="2" width="12.28515625" style="56" customWidth="1"/>
    <col min="3" max="3" width="40" style="10" customWidth="1"/>
    <col min="4" max="4" width="12.85546875" style="10" customWidth="1"/>
    <col min="5" max="5" width="11.42578125" style="10"/>
    <col min="6" max="6" width="4.140625" style="10" customWidth="1"/>
    <col min="7" max="7" width="14.7109375" style="10" customWidth="1"/>
    <col min="8" max="8" width="13.28515625" style="10" customWidth="1"/>
    <col min="9" max="11" width="11.42578125" style="10"/>
    <col min="12" max="12" width="14.140625" style="10" customWidth="1"/>
    <col min="13" max="13" width="11.42578125" style="10" customWidth="1"/>
    <col min="14" max="16384" width="11.42578125" style="10"/>
  </cols>
  <sheetData>
    <row r="1" spans="2:13" ht="24.75" customHeight="1" thickBot="1" x14ac:dyDescent="0.3">
      <c r="B1" s="55">
        <v>1</v>
      </c>
    </row>
    <row r="2" spans="2:13" ht="46.5" customHeight="1" thickTop="1" thickBot="1" x14ac:dyDescent="0.55000000000000004">
      <c r="C2" s="81" t="s">
        <v>27</v>
      </c>
      <c r="D2" s="82"/>
      <c r="E2" s="83"/>
      <c r="H2" s="11"/>
    </row>
    <row r="3" spans="2:13" ht="33" thickTop="1" thickBot="1" x14ac:dyDescent="0.55000000000000004">
      <c r="C3" s="20" t="s">
        <v>19</v>
      </c>
      <c r="D3" s="21" t="s">
        <v>20</v>
      </c>
      <c r="E3" s="22" t="s">
        <v>21</v>
      </c>
      <c r="H3" s="12"/>
    </row>
    <row r="4" spans="2:13" ht="35.25" customHeight="1" thickTop="1" thickBot="1" x14ac:dyDescent="0.55000000000000004">
      <c r="C4" s="84" t="s">
        <v>45</v>
      </c>
      <c r="D4" s="38">
        <v>1</v>
      </c>
      <c r="E4" s="39" t="s">
        <v>22</v>
      </c>
      <c r="G4" s="124" t="s">
        <v>61</v>
      </c>
      <c r="H4" s="125"/>
      <c r="I4" s="95" t="s">
        <v>62</v>
      </c>
      <c r="J4" s="128"/>
      <c r="K4" s="89" t="s">
        <v>56</v>
      </c>
      <c r="L4" s="90"/>
      <c r="M4" s="91"/>
    </row>
    <row r="5" spans="2:13" ht="39.75" thickTop="1" thickBot="1" x14ac:dyDescent="0.55000000000000004">
      <c r="C5" s="85"/>
      <c r="D5" s="40">
        <v>10</v>
      </c>
      <c r="E5" s="41" t="s">
        <v>23</v>
      </c>
      <c r="G5" s="126"/>
      <c r="H5" s="127"/>
      <c r="I5" s="95"/>
      <c r="J5" s="128"/>
      <c r="K5" s="92"/>
      <c r="L5" s="93"/>
      <c r="M5" s="94"/>
    </row>
    <row r="6" spans="2:13" ht="39.75" thickTop="1" thickBot="1" x14ac:dyDescent="0.55000000000000004">
      <c r="C6" s="86"/>
      <c r="D6" s="40">
        <v>1</v>
      </c>
      <c r="E6" s="41" t="s">
        <v>24</v>
      </c>
      <c r="H6" s="12"/>
    </row>
    <row r="7" spans="2:13" ht="39.75" thickTop="1" thickBot="1" x14ac:dyDescent="0.55000000000000004">
      <c r="C7" s="87" t="s">
        <v>46</v>
      </c>
      <c r="D7" s="38">
        <v>5</v>
      </c>
      <c r="E7" s="39" t="s">
        <v>25</v>
      </c>
    </row>
    <row r="8" spans="2:13" ht="39.75" thickTop="1" thickBot="1" x14ac:dyDescent="0.55000000000000004">
      <c r="C8" s="88"/>
      <c r="D8" s="40">
        <v>10</v>
      </c>
      <c r="E8" s="41" t="s">
        <v>26</v>
      </c>
      <c r="H8" s="13"/>
    </row>
    <row r="9" spans="2:13" ht="9.75" customHeight="1" thickTop="1" thickBot="1" x14ac:dyDescent="0.55000000000000004">
      <c r="H9" s="12"/>
    </row>
    <row r="10" spans="2:13" thickTop="1" thickBot="1" x14ac:dyDescent="0.3">
      <c r="B10" s="55">
        <v>2</v>
      </c>
      <c r="C10" s="23"/>
      <c r="D10" s="24"/>
      <c r="E10" s="25"/>
    </row>
    <row r="11" spans="2:13" ht="27" customHeight="1" thickTop="1" thickBot="1" x14ac:dyDescent="0.55000000000000004">
      <c r="C11" s="81" t="s">
        <v>33</v>
      </c>
      <c r="D11" s="82"/>
      <c r="E11" s="83"/>
    </row>
    <row r="12" spans="2:13" ht="33" thickTop="1" thickBot="1" x14ac:dyDescent="0.55000000000000004">
      <c r="C12" s="32" t="s">
        <v>19</v>
      </c>
      <c r="D12" s="26" t="s">
        <v>20</v>
      </c>
      <c r="E12" s="31" t="s">
        <v>21</v>
      </c>
      <c r="F12" s="14"/>
    </row>
    <row r="13" spans="2:13" ht="36" customHeight="1" thickTop="1" thickBot="1" x14ac:dyDescent="0.55000000000000004">
      <c r="C13" s="84" t="s">
        <v>47</v>
      </c>
      <c r="D13" s="42">
        <v>10</v>
      </c>
      <c r="E13" s="43" t="s">
        <v>28</v>
      </c>
      <c r="F13" s="14"/>
      <c r="G13" s="29"/>
      <c r="H13" s="28"/>
      <c r="K13" s="27"/>
      <c r="L13" s="30"/>
      <c r="M13" s="28"/>
    </row>
    <row r="14" spans="2:13" ht="35.25" customHeight="1" thickTop="1" thickBot="1" x14ac:dyDescent="0.55000000000000004">
      <c r="C14" s="85"/>
      <c r="D14" s="43">
        <v>1</v>
      </c>
      <c r="E14" s="43" t="s">
        <v>29</v>
      </c>
      <c r="F14" s="14"/>
      <c r="G14" s="89" t="s">
        <v>59</v>
      </c>
      <c r="H14" s="91"/>
      <c r="I14" s="95" t="s">
        <v>60</v>
      </c>
      <c r="J14" s="95"/>
      <c r="K14" s="89" t="s">
        <v>57</v>
      </c>
      <c r="L14" s="90"/>
      <c r="M14" s="91"/>
    </row>
    <row r="15" spans="2:13" ht="33" thickTop="1" thickBot="1" x14ac:dyDescent="0.55000000000000004">
      <c r="C15" s="109" t="s">
        <v>30</v>
      </c>
      <c r="D15" s="44">
        <v>1</v>
      </c>
      <c r="E15" s="45" t="s">
        <v>73</v>
      </c>
      <c r="F15" s="14"/>
      <c r="G15" s="92"/>
      <c r="H15" s="94"/>
      <c r="I15" s="95"/>
      <c r="J15" s="95"/>
      <c r="K15" s="92"/>
      <c r="L15" s="93"/>
      <c r="M15" s="94"/>
    </row>
    <row r="16" spans="2:13" ht="46.5" thickTop="1" thickBot="1" x14ac:dyDescent="0.55000000000000004">
      <c r="C16" s="110"/>
      <c r="D16" s="45">
        <v>5</v>
      </c>
      <c r="E16" s="46" t="s">
        <v>31</v>
      </c>
      <c r="F16" s="14"/>
    </row>
    <row r="17" spans="2:6" ht="32.25" thickTop="1" x14ac:dyDescent="0.5">
      <c r="C17" s="110"/>
      <c r="D17" s="112">
        <v>10</v>
      </c>
      <c r="E17" s="112" t="s">
        <v>32</v>
      </c>
      <c r="F17" s="14"/>
    </row>
    <row r="18" spans="2:6" ht="32.25" thickBot="1" x14ac:dyDescent="0.55000000000000004">
      <c r="C18" s="111"/>
      <c r="D18" s="113"/>
      <c r="E18" s="114"/>
      <c r="F18" s="14"/>
    </row>
    <row r="19" spans="2:6" ht="9.75" customHeight="1" thickTop="1" thickBot="1" x14ac:dyDescent="0.55000000000000004"/>
    <row r="20" spans="2:6" thickTop="1" thickBot="1" x14ac:dyDescent="0.3">
      <c r="B20" s="55">
        <v>3</v>
      </c>
      <c r="C20" s="81" t="s">
        <v>72</v>
      </c>
      <c r="D20" s="82"/>
      <c r="E20" s="83"/>
    </row>
    <row r="21" spans="2:6" ht="33" thickTop="1" thickBot="1" x14ac:dyDescent="0.55000000000000004">
      <c r="C21" s="100" t="s">
        <v>37</v>
      </c>
      <c r="D21" s="101"/>
      <c r="E21" s="102"/>
    </row>
    <row r="22" spans="2:6" ht="33" thickTop="1" thickBot="1" x14ac:dyDescent="0.55000000000000004">
      <c r="C22" s="34" t="s">
        <v>19</v>
      </c>
      <c r="D22" s="21" t="s">
        <v>20</v>
      </c>
      <c r="E22" s="33" t="s">
        <v>21</v>
      </c>
    </row>
    <row r="23" spans="2:6" ht="32.25" thickTop="1" x14ac:dyDescent="0.5">
      <c r="C23" s="84" t="s">
        <v>71</v>
      </c>
      <c r="D23" s="115">
        <v>1</v>
      </c>
      <c r="E23" s="98" t="s">
        <v>34</v>
      </c>
    </row>
    <row r="24" spans="2:6" ht="15.75" customHeight="1" thickBot="1" x14ac:dyDescent="0.55000000000000004">
      <c r="C24" s="85"/>
      <c r="D24" s="116"/>
      <c r="E24" s="99"/>
    </row>
    <row r="25" spans="2:6" ht="33" thickTop="1" thickBot="1" x14ac:dyDescent="0.55000000000000004">
      <c r="C25" s="85"/>
      <c r="D25" s="47">
        <v>5</v>
      </c>
      <c r="E25" s="48" t="s">
        <v>35</v>
      </c>
    </row>
    <row r="26" spans="2:6" ht="33" thickTop="1" thickBot="1" x14ac:dyDescent="0.55000000000000004">
      <c r="C26" s="86"/>
      <c r="D26" s="49">
        <v>10</v>
      </c>
      <c r="E26" s="50" t="s">
        <v>36</v>
      </c>
    </row>
    <row r="27" spans="2:6" ht="12" customHeight="1" thickTop="1" thickBot="1" x14ac:dyDescent="0.55000000000000004"/>
    <row r="28" spans="2:6" ht="32.25" thickTop="1" x14ac:dyDescent="0.5">
      <c r="C28" s="103" t="s">
        <v>38</v>
      </c>
      <c r="D28" s="104"/>
      <c r="E28" s="105"/>
    </row>
    <row r="29" spans="2:6" ht="32.25" thickBot="1" x14ac:dyDescent="0.55000000000000004">
      <c r="B29" s="57"/>
      <c r="C29" s="106"/>
      <c r="D29" s="107"/>
      <c r="E29" s="108"/>
    </row>
    <row r="30" spans="2:6" ht="33" thickTop="1" thickBot="1" x14ac:dyDescent="0.55000000000000004">
      <c r="C30" s="22" t="s">
        <v>19</v>
      </c>
      <c r="D30" s="35" t="s">
        <v>20</v>
      </c>
      <c r="E30" s="22" t="s">
        <v>21</v>
      </c>
    </row>
    <row r="31" spans="2:6" ht="32.25" thickTop="1" x14ac:dyDescent="0.5">
      <c r="C31" s="117" t="s">
        <v>39</v>
      </c>
      <c r="D31" s="96">
        <v>1</v>
      </c>
      <c r="E31" s="96" t="s">
        <v>40</v>
      </c>
    </row>
    <row r="32" spans="2:6" ht="32.25" thickBot="1" x14ac:dyDescent="0.55000000000000004">
      <c r="C32" s="118"/>
      <c r="D32" s="97"/>
      <c r="E32" s="97"/>
    </row>
    <row r="33" spans="2:14" ht="31.5" customHeight="1" thickTop="1" thickBot="1" x14ac:dyDescent="0.55000000000000004">
      <c r="C33" s="118"/>
      <c r="D33" s="121"/>
      <c r="E33" s="97"/>
      <c r="G33" s="23"/>
      <c r="H33" s="25"/>
    </row>
    <row r="34" spans="2:14" ht="33.75" customHeight="1" thickTop="1" x14ac:dyDescent="0.5">
      <c r="C34" s="118"/>
      <c r="D34" s="120">
        <v>5</v>
      </c>
      <c r="E34" s="96" t="s">
        <v>70</v>
      </c>
      <c r="G34" s="89" t="s">
        <v>63</v>
      </c>
      <c r="H34" s="91"/>
      <c r="I34" s="95" t="s">
        <v>60</v>
      </c>
      <c r="J34" s="95"/>
      <c r="K34" s="89" t="s">
        <v>58</v>
      </c>
      <c r="L34" s="90"/>
      <c r="M34" s="90"/>
      <c r="N34" s="91"/>
    </row>
    <row r="35" spans="2:14" ht="32.25" thickBot="1" x14ac:dyDescent="0.55000000000000004">
      <c r="C35" s="118"/>
      <c r="D35" s="120"/>
      <c r="E35" s="121"/>
      <c r="G35" s="92"/>
      <c r="H35" s="94"/>
      <c r="I35" s="95"/>
      <c r="J35" s="95"/>
      <c r="K35" s="92"/>
      <c r="L35" s="93"/>
      <c r="M35" s="93"/>
      <c r="N35" s="94"/>
    </row>
    <row r="36" spans="2:14" ht="45" customHeight="1" thickTop="1" x14ac:dyDescent="0.5">
      <c r="C36" s="118"/>
      <c r="D36" s="122">
        <v>10</v>
      </c>
      <c r="E36" s="96" t="s">
        <v>69</v>
      </c>
    </row>
    <row r="37" spans="2:14" ht="32.25" thickBot="1" x14ac:dyDescent="0.55000000000000004">
      <c r="C37" s="118"/>
      <c r="D37" s="123"/>
      <c r="E37" s="97"/>
    </row>
    <row r="38" spans="2:14" ht="33" thickTop="1" thickBot="1" x14ac:dyDescent="0.55000000000000004">
      <c r="C38" s="119"/>
      <c r="D38" s="51"/>
      <c r="E38" s="121"/>
    </row>
    <row r="39" spans="2:14" ht="9" customHeight="1" thickTop="1" thickBot="1" x14ac:dyDescent="0.55000000000000004"/>
    <row r="40" spans="2:14" ht="32.25" thickTop="1" x14ac:dyDescent="0.5">
      <c r="C40" s="103" t="s">
        <v>44</v>
      </c>
      <c r="D40" s="104"/>
      <c r="E40" s="105"/>
    </row>
    <row r="41" spans="2:14" ht="32.25" thickBot="1" x14ac:dyDescent="0.55000000000000004">
      <c r="C41" s="106"/>
      <c r="D41" s="107"/>
      <c r="E41" s="108"/>
    </row>
    <row r="42" spans="2:14" ht="28.5" customHeight="1" thickTop="1" thickBot="1" x14ac:dyDescent="0.55000000000000004">
      <c r="C42" s="22" t="s">
        <v>19</v>
      </c>
      <c r="D42" s="21" t="s">
        <v>20</v>
      </c>
      <c r="E42" s="36" t="s">
        <v>21</v>
      </c>
      <c r="F42" s="37"/>
    </row>
    <row r="43" spans="2:14" ht="33" thickTop="1" thickBot="1" x14ac:dyDescent="0.55000000000000004">
      <c r="C43" s="84" t="s">
        <v>48</v>
      </c>
      <c r="D43" s="38">
        <v>1</v>
      </c>
      <c r="E43" s="52" t="s">
        <v>41</v>
      </c>
    </row>
    <row r="44" spans="2:14" ht="33" thickTop="1" thickBot="1" x14ac:dyDescent="0.55000000000000004">
      <c r="C44" s="85"/>
      <c r="D44" s="53">
        <v>5</v>
      </c>
      <c r="E44" s="52" t="s">
        <v>42</v>
      </c>
    </row>
    <row r="45" spans="2:14" ht="33" thickTop="1" thickBot="1" x14ac:dyDescent="0.55000000000000004">
      <c r="C45" s="86"/>
      <c r="D45" s="38">
        <v>10</v>
      </c>
      <c r="E45" s="54" t="s">
        <v>43</v>
      </c>
    </row>
    <row r="46" spans="2:14" ht="9.75" customHeight="1" thickTop="1" thickBot="1" x14ac:dyDescent="0.55000000000000004">
      <c r="C46" s="24"/>
      <c r="E46" s="23"/>
      <c r="F46" s="24"/>
      <c r="G46" s="24"/>
      <c r="H46" s="25"/>
    </row>
    <row r="47" spans="2:14" ht="30.75" thickTop="1" x14ac:dyDescent="0.25">
      <c r="B47" s="55">
        <v>4</v>
      </c>
      <c r="C47" s="133" t="s">
        <v>65</v>
      </c>
      <c r="D47" s="128" t="s">
        <v>60</v>
      </c>
      <c r="E47" s="135" t="s">
        <v>64</v>
      </c>
      <c r="F47" s="136"/>
      <c r="G47" s="136"/>
      <c r="H47" s="137"/>
    </row>
    <row r="48" spans="2:14" ht="32.25" thickBot="1" x14ac:dyDescent="0.55000000000000004">
      <c r="C48" s="134"/>
      <c r="D48" s="128"/>
      <c r="E48" s="138"/>
      <c r="F48" s="139"/>
      <c r="G48" s="139"/>
      <c r="H48" s="140"/>
    </row>
    <row r="49" spans="3:9" ht="32.25" thickTop="1" x14ac:dyDescent="0.5"/>
    <row r="50" spans="3:9" ht="32.25" thickBot="1" x14ac:dyDescent="0.55000000000000004"/>
    <row r="51" spans="3:9" ht="24.95" customHeight="1" thickTop="1" thickBot="1" x14ac:dyDescent="0.55000000000000004">
      <c r="C51" s="16" t="s">
        <v>66</v>
      </c>
      <c r="D51" s="129" t="s">
        <v>52</v>
      </c>
      <c r="E51" s="130"/>
      <c r="F51" s="130"/>
      <c r="G51" s="130"/>
      <c r="H51" s="130"/>
      <c r="I51" s="131"/>
    </row>
    <row r="52" spans="3:9" ht="24.95" customHeight="1" thickTop="1" thickBot="1" x14ac:dyDescent="0.55000000000000004">
      <c r="C52" s="17" t="s">
        <v>67</v>
      </c>
      <c r="D52" s="129" t="s">
        <v>53</v>
      </c>
      <c r="E52" s="130"/>
      <c r="F52" s="130"/>
      <c r="G52" s="130"/>
      <c r="H52" s="130"/>
      <c r="I52" s="131"/>
    </row>
    <row r="53" spans="3:9" ht="24.95" customHeight="1" thickTop="1" thickBot="1" x14ac:dyDescent="0.55000000000000004">
      <c r="C53" s="18" t="s">
        <v>68</v>
      </c>
      <c r="D53" s="132" t="s">
        <v>54</v>
      </c>
      <c r="E53" s="130"/>
      <c r="F53" s="130"/>
      <c r="G53" s="130"/>
      <c r="H53" s="130"/>
      <c r="I53" s="131"/>
    </row>
    <row r="54" spans="3:9" ht="24.95" customHeight="1" thickTop="1" thickBot="1" x14ac:dyDescent="0.55000000000000004">
      <c r="C54" s="19" t="s">
        <v>51</v>
      </c>
      <c r="D54" s="129" t="s">
        <v>55</v>
      </c>
      <c r="E54" s="130"/>
      <c r="F54" s="130"/>
      <c r="G54" s="130"/>
      <c r="H54" s="130"/>
      <c r="I54" s="131"/>
    </row>
    <row r="55" spans="3:9" ht="32.25" thickTop="1" x14ac:dyDescent="0.5"/>
  </sheetData>
  <mergeCells count="39">
    <mergeCell ref="D51:I51"/>
    <mergeCell ref="D52:I52"/>
    <mergeCell ref="D53:I53"/>
    <mergeCell ref="D54:I54"/>
    <mergeCell ref="E36:E38"/>
    <mergeCell ref="C40:E41"/>
    <mergeCell ref="C47:C48"/>
    <mergeCell ref="D47:D48"/>
    <mergeCell ref="E47:H48"/>
    <mergeCell ref="G4:H5"/>
    <mergeCell ref="I4:J5"/>
    <mergeCell ref="K4:M5"/>
    <mergeCell ref="G14:H15"/>
    <mergeCell ref="I14:J15"/>
    <mergeCell ref="K14:M15"/>
    <mergeCell ref="C23:C26"/>
    <mergeCell ref="C31:C38"/>
    <mergeCell ref="C43:C45"/>
    <mergeCell ref="G34:H35"/>
    <mergeCell ref="D34:D35"/>
    <mergeCell ref="D31:D33"/>
    <mergeCell ref="D36:D37"/>
    <mergeCell ref="E34:E35"/>
    <mergeCell ref="C2:E2"/>
    <mergeCell ref="C4:C6"/>
    <mergeCell ref="C7:C8"/>
    <mergeCell ref="C13:C14"/>
    <mergeCell ref="K34:N35"/>
    <mergeCell ref="I34:J35"/>
    <mergeCell ref="E31:E33"/>
    <mergeCell ref="E23:E24"/>
    <mergeCell ref="C20:E20"/>
    <mergeCell ref="C21:E21"/>
    <mergeCell ref="C28:E29"/>
    <mergeCell ref="C11:E11"/>
    <mergeCell ref="C15:C18"/>
    <mergeCell ref="D17:D18"/>
    <mergeCell ref="E17:E18"/>
    <mergeCell ref="D23:D2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Y78"/>
  <sheetViews>
    <sheetView showGridLines="0" tabSelected="1" topLeftCell="A2" zoomScale="59" zoomScaleNormal="59" zoomScalePageLayoutView="80" workbookViewId="0">
      <pane ySplit="10" topLeftCell="A12" activePane="bottomLeft" state="frozen"/>
      <selection activeCell="A2" sqref="A2"/>
      <selection pane="bottomLeft" activeCell="L79" sqref="L79:L80"/>
    </sheetView>
  </sheetViews>
  <sheetFormatPr baseColWidth="10" defaultColWidth="11.5703125" defaultRowHeight="14.25" x14ac:dyDescent="0.2"/>
  <cols>
    <col min="1" max="1" width="3.28515625" style="2" customWidth="1"/>
    <col min="2" max="2" width="5" style="1" customWidth="1"/>
    <col min="3" max="3" width="4.85546875" style="1" customWidth="1"/>
    <col min="4" max="4" width="4.7109375" style="1" customWidth="1"/>
    <col min="5" max="5" width="6.28515625" style="1" customWidth="1"/>
    <col min="6" max="6" width="20.42578125" style="1" customWidth="1"/>
    <col min="7" max="7" width="31.5703125" style="1" customWidth="1"/>
    <col min="8" max="8" width="19.5703125" style="1" customWidth="1"/>
    <col min="9" max="9" width="31.28515625" style="1" customWidth="1"/>
    <col min="10" max="10" width="14.5703125" style="1" customWidth="1"/>
    <col min="11" max="11" width="10.42578125" style="1" customWidth="1"/>
    <col min="12" max="12" width="10.7109375" style="1" customWidth="1"/>
    <col min="13" max="13" width="11" style="1" customWidth="1"/>
    <col min="14" max="14" width="13.85546875" style="1" customWidth="1"/>
    <col min="15" max="15" width="10.140625" style="1" customWidth="1"/>
    <col min="16" max="16" width="8.5703125" style="1" customWidth="1"/>
    <col min="17" max="17" width="8.7109375" style="1" customWidth="1"/>
    <col min="18" max="18" width="13.7109375" style="1" customWidth="1"/>
    <col min="19" max="21" width="11.42578125" style="1" customWidth="1"/>
    <col min="22" max="22" width="14" style="1" customWidth="1"/>
    <col min="23" max="23" width="9.140625" style="1" customWidth="1"/>
    <col min="24" max="24" width="16.7109375" style="1" customWidth="1"/>
    <col min="25" max="25" width="55.7109375" style="1" customWidth="1"/>
    <col min="26" max="16384" width="11.5703125" style="2"/>
  </cols>
  <sheetData>
    <row r="1" spans="2:25" s="3" customFormat="1" ht="5.25" hidden="1" customHeight="1" x14ac:dyDescent="0.35">
      <c r="B1" s="181"/>
      <c r="C1" s="181"/>
      <c r="D1" s="181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  <c r="Q1" s="182"/>
      <c r="R1" s="182"/>
      <c r="S1" s="182"/>
      <c r="T1" s="182"/>
      <c r="U1" s="182"/>
      <c r="V1" s="182"/>
      <c r="W1" s="182"/>
      <c r="X1" s="182"/>
      <c r="Y1" s="182"/>
    </row>
    <row r="2" spans="2:25" ht="30" customHeight="1" x14ac:dyDescent="0.2">
      <c r="B2" s="195"/>
      <c r="C2" s="196"/>
      <c r="D2" s="197"/>
      <c r="E2" s="186" t="s">
        <v>85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8"/>
      <c r="Y2" s="141" t="s">
        <v>86</v>
      </c>
    </row>
    <row r="3" spans="2:25" ht="20.100000000000001" customHeight="1" x14ac:dyDescent="0.2">
      <c r="B3" s="198"/>
      <c r="C3" s="199"/>
      <c r="D3" s="200"/>
      <c r="E3" s="189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1"/>
      <c r="Y3" s="142"/>
    </row>
    <row r="4" spans="2:25" ht="20.100000000000001" customHeight="1" x14ac:dyDescent="0.2">
      <c r="B4" s="198"/>
      <c r="C4" s="199"/>
      <c r="D4" s="200"/>
      <c r="E4" s="189"/>
      <c r="F4" s="190"/>
      <c r="G4" s="190"/>
      <c r="H4" s="190"/>
      <c r="I4" s="190"/>
      <c r="J4" s="190"/>
      <c r="K4" s="190"/>
      <c r="L4" s="190"/>
      <c r="M4" s="190"/>
      <c r="N4" s="190"/>
      <c r="O4" s="190"/>
      <c r="P4" s="190"/>
      <c r="Q4" s="190"/>
      <c r="R4" s="190"/>
      <c r="S4" s="190"/>
      <c r="T4" s="190"/>
      <c r="U4" s="190"/>
      <c r="V4" s="190"/>
      <c r="W4" s="190"/>
      <c r="X4" s="191"/>
      <c r="Y4" s="141" t="s">
        <v>88</v>
      </c>
    </row>
    <row r="5" spans="2:25" ht="20.100000000000001" customHeight="1" x14ac:dyDescent="0.2">
      <c r="B5" s="198"/>
      <c r="C5" s="199"/>
      <c r="D5" s="200"/>
      <c r="E5" s="189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90"/>
      <c r="Q5" s="190"/>
      <c r="R5" s="190"/>
      <c r="S5" s="190"/>
      <c r="T5" s="190"/>
      <c r="U5" s="190"/>
      <c r="V5" s="190"/>
      <c r="W5" s="190"/>
      <c r="X5" s="191"/>
      <c r="Y5" s="142"/>
    </row>
    <row r="6" spans="2:25" ht="24.75" customHeight="1" x14ac:dyDescent="0.2">
      <c r="B6" s="198"/>
      <c r="C6" s="199"/>
      <c r="D6" s="200"/>
      <c r="E6" s="189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90"/>
      <c r="T6" s="190"/>
      <c r="U6" s="190"/>
      <c r="V6" s="190"/>
      <c r="W6" s="190"/>
      <c r="X6" s="191"/>
      <c r="Y6" s="141" t="s">
        <v>87</v>
      </c>
    </row>
    <row r="7" spans="2:25" ht="14.25" customHeight="1" x14ac:dyDescent="0.2">
      <c r="B7" s="201"/>
      <c r="C7" s="202"/>
      <c r="D7" s="203"/>
      <c r="E7" s="192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4"/>
      <c r="Y7" s="142"/>
    </row>
    <row r="8" spans="2:25" s="4" customFormat="1" ht="39" customHeight="1" x14ac:dyDescent="0.2">
      <c r="B8" s="150" t="s">
        <v>1</v>
      </c>
      <c r="C8" s="150" t="s">
        <v>79</v>
      </c>
      <c r="D8" s="150" t="s">
        <v>2</v>
      </c>
      <c r="E8" s="150" t="s">
        <v>83</v>
      </c>
      <c r="F8" s="151" t="s">
        <v>84</v>
      </c>
      <c r="G8" s="152"/>
      <c r="H8" s="152"/>
      <c r="I8" s="153"/>
      <c r="J8" s="146" t="s">
        <v>3</v>
      </c>
      <c r="K8" s="146" t="s">
        <v>80</v>
      </c>
      <c r="L8" s="146"/>
      <c r="M8" s="146" t="s">
        <v>4</v>
      </c>
      <c r="N8" s="146"/>
      <c r="O8" s="146" t="s">
        <v>74</v>
      </c>
      <c r="P8" s="146" t="s">
        <v>6</v>
      </c>
      <c r="Q8" s="146"/>
      <c r="R8" s="146" t="s">
        <v>75</v>
      </c>
      <c r="S8" s="146" t="s">
        <v>7</v>
      </c>
      <c r="T8" s="146"/>
      <c r="U8" s="146"/>
      <c r="V8" s="146" t="s">
        <v>76</v>
      </c>
      <c r="W8" s="150" t="s">
        <v>8</v>
      </c>
      <c r="X8" s="146" t="s">
        <v>9</v>
      </c>
      <c r="Y8" s="146" t="s">
        <v>10</v>
      </c>
    </row>
    <row r="9" spans="2:25" s="5" customFormat="1" ht="35.25" customHeight="1" x14ac:dyDescent="0.2">
      <c r="B9" s="150"/>
      <c r="C9" s="150"/>
      <c r="D9" s="150"/>
      <c r="E9" s="150"/>
      <c r="F9" s="154"/>
      <c r="G9" s="155"/>
      <c r="H9" s="155"/>
      <c r="I9" s="156"/>
      <c r="J9" s="146"/>
      <c r="K9" s="146"/>
      <c r="L9" s="146"/>
      <c r="M9" s="146"/>
      <c r="N9" s="146"/>
      <c r="O9" s="146"/>
      <c r="P9" s="146"/>
      <c r="Q9" s="146"/>
      <c r="R9" s="146"/>
      <c r="S9" s="146"/>
      <c r="T9" s="146"/>
      <c r="U9" s="146"/>
      <c r="V9" s="146"/>
      <c r="W9" s="150"/>
      <c r="X9" s="146"/>
      <c r="Y9" s="146"/>
    </row>
    <row r="10" spans="2:25" s="5" customFormat="1" ht="20.45" customHeight="1" x14ac:dyDescent="0.2">
      <c r="B10" s="150"/>
      <c r="C10" s="150"/>
      <c r="D10" s="150"/>
      <c r="E10" s="150"/>
      <c r="F10" s="146" t="s">
        <v>11</v>
      </c>
      <c r="G10" s="146" t="s">
        <v>12</v>
      </c>
      <c r="H10" s="184" t="s">
        <v>77</v>
      </c>
      <c r="I10" s="146" t="s">
        <v>78</v>
      </c>
      <c r="J10" s="146"/>
      <c r="K10" s="146" t="s">
        <v>81</v>
      </c>
      <c r="L10" s="146" t="s">
        <v>82</v>
      </c>
      <c r="M10" s="146" t="s">
        <v>13</v>
      </c>
      <c r="N10" s="146" t="s">
        <v>14</v>
      </c>
      <c r="O10" s="146" t="s">
        <v>5</v>
      </c>
      <c r="P10" s="146" t="s">
        <v>15</v>
      </c>
      <c r="Q10" s="146" t="s">
        <v>16</v>
      </c>
      <c r="R10" s="146" t="s">
        <v>50</v>
      </c>
      <c r="S10" s="146" t="s">
        <v>0</v>
      </c>
      <c r="T10" s="146" t="s">
        <v>17</v>
      </c>
      <c r="U10" s="146" t="s">
        <v>18</v>
      </c>
      <c r="V10" s="146" t="s">
        <v>49</v>
      </c>
      <c r="W10" s="150"/>
      <c r="X10" s="146"/>
      <c r="Y10" s="146"/>
    </row>
    <row r="11" spans="2:25" s="5" customFormat="1" ht="18" customHeight="1" x14ac:dyDescent="0.2">
      <c r="B11" s="183"/>
      <c r="C11" s="183"/>
      <c r="D11" s="183"/>
      <c r="E11" s="150"/>
      <c r="F11" s="146"/>
      <c r="G11" s="146"/>
      <c r="H11" s="185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50"/>
      <c r="X11" s="146"/>
      <c r="Y11" s="146"/>
    </row>
    <row r="12" spans="2:25" s="6" customFormat="1" ht="86.25" customHeight="1" x14ac:dyDescent="0.25">
      <c r="B12" s="145"/>
      <c r="C12" s="145"/>
      <c r="D12" s="145"/>
      <c r="E12" s="159"/>
      <c r="F12" s="160"/>
      <c r="G12" s="147"/>
      <c r="H12" s="147"/>
      <c r="I12" s="143"/>
      <c r="J12" s="58"/>
      <c r="K12" s="58"/>
      <c r="L12" s="58"/>
      <c r="M12" s="59"/>
      <c r="N12" s="59"/>
      <c r="O12" s="59"/>
      <c r="P12" s="59"/>
      <c r="Q12" s="59"/>
      <c r="R12" s="59"/>
      <c r="S12" s="59"/>
      <c r="T12" s="59"/>
      <c r="U12" s="59"/>
      <c r="V12" s="60"/>
      <c r="W12" s="61">
        <f>((O12*0.5)+(R12*0.15)+(V12*0.35))</f>
        <v>0</v>
      </c>
      <c r="X12" s="59"/>
      <c r="Y12" s="59"/>
    </row>
    <row r="13" spans="2:25" s="6" customFormat="1" ht="81.75" customHeight="1" x14ac:dyDescent="0.25">
      <c r="B13" s="145"/>
      <c r="C13" s="145"/>
      <c r="D13" s="145"/>
      <c r="E13" s="159"/>
      <c r="F13" s="160"/>
      <c r="G13" s="161"/>
      <c r="H13" s="161"/>
      <c r="I13" s="149"/>
      <c r="J13" s="58"/>
      <c r="K13" s="58"/>
      <c r="L13" s="58"/>
      <c r="M13" s="59"/>
      <c r="N13" s="59"/>
      <c r="O13" s="59"/>
      <c r="P13" s="59"/>
      <c r="Q13" s="59"/>
      <c r="R13" s="59"/>
      <c r="S13" s="59"/>
      <c r="T13" s="59"/>
      <c r="U13" s="59"/>
      <c r="V13" s="60"/>
      <c r="W13" s="61">
        <f>((O13*0.5)+(R13*0.15)+(V13*0.35))</f>
        <v>0</v>
      </c>
      <c r="X13" s="59"/>
      <c r="Y13" s="59"/>
    </row>
    <row r="14" spans="2:25" s="6" customFormat="1" ht="101.25" customHeight="1" x14ac:dyDescent="0.25">
      <c r="B14" s="145"/>
      <c r="C14" s="145"/>
      <c r="D14" s="145"/>
      <c r="E14" s="159"/>
      <c r="F14" s="160"/>
      <c r="G14" s="148"/>
      <c r="H14" s="148"/>
      <c r="I14" s="144"/>
      <c r="J14" s="58"/>
      <c r="K14" s="58"/>
      <c r="L14" s="58"/>
      <c r="M14" s="59"/>
      <c r="N14" s="59"/>
      <c r="O14" s="59"/>
      <c r="P14" s="59"/>
      <c r="Q14" s="59"/>
      <c r="R14" s="59"/>
      <c r="S14" s="59"/>
      <c r="T14" s="59"/>
      <c r="U14" s="59"/>
      <c r="V14" s="60"/>
      <c r="W14" s="61">
        <f>((O14*0.5)+(R14*0.15)+(V14*0.35))</f>
        <v>0</v>
      </c>
      <c r="X14" s="59"/>
      <c r="Y14" s="59"/>
    </row>
    <row r="15" spans="2:25" s="6" customFormat="1" ht="90.75" customHeight="1" x14ac:dyDescent="0.25">
      <c r="B15" s="145"/>
      <c r="C15" s="145"/>
      <c r="D15" s="145"/>
      <c r="E15" s="77"/>
      <c r="F15" s="72"/>
      <c r="G15" s="72"/>
      <c r="H15" s="72"/>
      <c r="I15" s="143"/>
      <c r="J15" s="58"/>
      <c r="K15" s="58"/>
      <c r="L15" s="58"/>
      <c r="M15" s="59"/>
      <c r="N15" s="59"/>
      <c r="O15" s="59"/>
      <c r="P15" s="59"/>
      <c r="Q15" s="59"/>
      <c r="R15" s="59"/>
      <c r="S15" s="59"/>
      <c r="T15" s="59"/>
      <c r="U15" s="59"/>
      <c r="V15" s="60"/>
      <c r="W15" s="61">
        <f t="shared" ref="W15:W16" si="0">((O15*0.5)+(R15*0.15)+(V15*0.35))</f>
        <v>0</v>
      </c>
      <c r="X15" s="59"/>
      <c r="Y15" s="59"/>
    </row>
    <row r="16" spans="2:25" s="6" customFormat="1" ht="192" customHeight="1" x14ac:dyDescent="0.25">
      <c r="B16" s="145"/>
      <c r="C16" s="145"/>
      <c r="D16" s="145"/>
      <c r="E16" s="78"/>
      <c r="F16" s="72"/>
      <c r="G16" s="72"/>
      <c r="H16" s="72"/>
      <c r="I16" s="144"/>
      <c r="J16" s="58"/>
      <c r="K16" s="58"/>
      <c r="L16" s="58"/>
      <c r="M16" s="59"/>
      <c r="N16" s="59"/>
      <c r="O16" s="59"/>
      <c r="P16" s="59"/>
      <c r="Q16" s="59"/>
      <c r="R16" s="59"/>
      <c r="S16" s="59"/>
      <c r="T16" s="59"/>
      <c r="U16" s="59"/>
      <c r="V16" s="60"/>
      <c r="W16" s="61">
        <f t="shared" si="0"/>
        <v>0</v>
      </c>
      <c r="X16" s="59"/>
      <c r="Y16" s="59"/>
    </row>
    <row r="17" spans="2:25" s="6" customFormat="1" ht="100.5" customHeight="1" x14ac:dyDescent="0.25">
      <c r="B17" s="145"/>
      <c r="C17" s="145"/>
      <c r="D17" s="145"/>
      <c r="E17" s="159"/>
      <c r="F17" s="160"/>
      <c r="G17" s="147"/>
      <c r="H17" s="147"/>
      <c r="I17" s="143"/>
      <c r="J17" s="58"/>
      <c r="K17" s="58"/>
      <c r="L17" s="58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62">
        <f>((O17*0.5)+(R17*0.15)+(V17*0.35))</f>
        <v>0</v>
      </c>
      <c r="X17" s="59"/>
      <c r="Y17" s="59"/>
    </row>
    <row r="18" spans="2:25" s="6" customFormat="1" ht="106.5" customHeight="1" x14ac:dyDescent="0.25">
      <c r="B18" s="145"/>
      <c r="C18" s="145"/>
      <c r="D18" s="145"/>
      <c r="E18" s="159"/>
      <c r="F18" s="160"/>
      <c r="G18" s="161"/>
      <c r="H18" s="161"/>
      <c r="I18" s="149"/>
      <c r="J18" s="58"/>
      <c r="K18" s="58"/>
      <c r="L18" s="58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62">
        <f t="shared" ref="W18:W19" si="1">((O18*0.5)+(R18*0.15)+(V18*0.35))</f>
        <v>0</v>
      </c>
      <c r="X18" s="59"/>
      <c r="Y18" s="59"/>
    </row>
    <row r="19" spans="2:25" s="6" customFormat="1" ht="207" customHeight="1" x14ac:dyDescent="0.25">
      <c r="B19" s="145"/>
      <c r="C19" s="145"/>
      <c r="D19" s="145"/>
      <c r="E19" s="159"/>
      <c r="F19" s="160"/>
      <c r="G19" s="148"/>
      <c r="H19" s="148"/>
      <c r="I19" s="144"/>
      <c r="J19" s="58"/>
      <c r="K19" s="58"/>
      <c r="L19" s="58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62">
        <f t="shared" si="1"/>
        <v>0</v>
      </c>
      <c r="X19" s="59"/>
      <c r="Y19" s="59"/>
    </row>
    <row r="20" spans="2:25" s="6" customFormat="1" ht="106.5" customHeight="1" x14ac:dyDescent="0.25">
      <c r="B20" s="145"/>
      <c r="C20" s="145"/>
      <c r="D20" s="145"/>
      <c r="E20" s="159"/>
      <c r="F20" s="160"/>
      <c r="G20" s="147"/>
      <c r="H20" s="147"/>
      <c r="I20" s="143"/>
      <c r="J20" s="58"/>
      <c r="K20" s="58"/>
      <c r="L20" s="58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62">
        <f t="shared" ref="W20" si="2">((O20*0.5)+(R20*0.15)+(V20*0.35))</f>
        <v>0</v>
      </c>
      <c r="X20" s="59"/>
      <c r="Y20" s="59"/>
    </row>
    <row r="21" spans="2:25" s="6" customFormat="1" ht="372" customHeight="1" x14ac:dyDescent="0.25">
      <c r="B21" s="145"/>
      <c r="C21" s="145"/>
      <c r="D21" s="145"/>
      <c r="E21" s="159"/>
      <c r="F21" s="160"/>
      <c r="G21" s="148"/>
      <c r="H21" s="148"/>
      <c r="I21" s="144"/>
      <c r="J21" s="58"/>
      <c r="K21" s="58"/>
      <c r="L21" s="58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62">
        <f t="shared" ref="W21" si="3">((O21*0.5)+(R21*0.15)+(V21*0.35))</f>
        <v>0</v>
      </c>
      <c r="X21" s="59"/>
      <c r="Y21" s="59"/>
    </row>
    <row r="22" spans="2:25" s="6" customFormat="1" ht="110.25" customHeight="1" x14ac:dyDescent="0.25">
      <c r="B22" s="145"/>
      <c r="C22" s="145"/>
      <c r="D22" s="145"/>
      <c r="E22" s="159"/>
      <c r="F22" s="160"/>
      <c r="G22" s="147"/>
      <c r="H22" s="147"/>
      <c r="I22" s="143"/>
      <c r="J22" s="58"/>
      <c r="K22" s="58"/>
      <c r="L22" s="58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62">
        <f>((O22*0.5)+(R22*0.15)+(V22*0.35))</f>
        <v>0</v>
      </c>
      <c r="X22" s="59"/>
      <c r="Y22" s="59"/>
    </row>
    <row r="23" spans="2:25" s="6" customFormat="1" ht="94.5" customHeight="1" x14ac:dyDescent="0.25">
      <c r="B23" s="145"/>
      <c r="C23" s="145"/>
      <c r="D23" s="145"/>
      <c r="E23" s="159"/>
      <c r="F23" s="160"/>
      <c r="G23" s="161"/>
      <c r="H23" s="161"/>
      <c r="I23" s="149"/>
      <c r="J23" s="58"/>
      <c r="K23" s="58"/>
      <c r="L23" s="58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62">
        <f>((O23*0.5)+(R23*0.15)+(V23*0.35))</f>
        <v>0</v>
      </c>
      <c r="X23" s="59"/>
      <c r="Y23" s="59"/>
    </row>
    <row r="24" spans="2:25" s="6" customFormat="1" ht="93.75" customHeight="1" x14ac:dyDescent="0.25">
      <c r="B24" s="145"/>
      <c r="C24" s="145"/>
      <c r="D24" s="145"/>
      <c r="E24" s="159"/>
      <c r="F24" s="160"/>
      <c r="G24" s="161"/>
      <c r="H24" s="161"/>
      <c r="I24" s="149"/>
      <c r="J24" s="58"/>
      <c r="K24" s="58"/>
      <c r="L24" s="58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62">
        <f t="shared" ref="W24:W26" si="4">((O24*0.5)+(R24*0.15)+(V24*0.35))</f>
        <v>0</v>
      </c>
      <c r="X24" s="59"/>
      <c r="Y24" s="59"/>
    </row>
    <row r="25" spans="2:25" s="6" customFormat="1" ht="119.25" customHeight="1" x14ac:dyDescent="0.25">
      <c r="B25" s="145"/>
      <c r="C25" s="145"/>
      <c r="D25" s="145"/>
      <c r="E25" s="159"/>
      <c r="F25" s="160"/>
      <c r="G25" s="161"/>
      <c r="H25" s="161"/>
      <c r="I25" s="149"/>
      <c r="J25" s="58"/>
      <c r="K25" s="58"/>
      <c r="L25" s="58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62">
        <f t="shared" si="4"/>
        <v>0</v>
      </c>
      <c r="X25" s="59"/>
      <c r="Y25" s="59"/>
    </row>
    <row r="26" spans="2:25" s="6" customFormat="1" ht="86.25" customHeight="1" x14ac:dyDescent="0.25">
      <c r="B26" s="145"/>
      <c r="C26" s="145"/>
      <c r="D26" s="145"/>
      <c r="E26" s="159"/>
      <c r="F26" s="160"/>
      <c r="G26" s="148"/>
      <c r="H26" s="148"/>
      <c r="I26" s="144"/>
      <c r="J26" s="58"/>
      <c r="K26" s="58"/>
      <c r="L26" s="58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62">
        <f t="shared" si="4"/>
        <v>0</v>
      </c>
      <c r="X26" s="59"/>
      <c r="Y26" s="59"/>
    </row>
    <row r="27" spans="2:25" s="6" customFormat="1" ht="117.75" customHeight="1" x14ac:dyDescent="0.25">
      <c r="B27" s="145"/>
      <c r="C27" s="145"/>
      <c r="D27" s="145"/>
      <c r="E27" s="159"/>
      <c r="F27" s="160"/>
      <c r="G27" s="147"/>
      <c r="H27" s="147"/>
      <c r="I27" s="143"/>
      <c r="J27" s="63"/>
      <c r="K27" s="58"/>
      <c r="L27" s="58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62">
        <f>((O27*0.5)+(R27*0.15)+(V27*0.35))</f>
        <v>0</v>
      </c>
      <c r="X27" s="59"/>
      <c r="Y27" s="59"/>
    </row>
    <row r="28" spans="2:25" s="6" customFormat="1" ht="140.25" customHeight="1" x14ac:dyDescent="0.25">
      <c r="B28" s="145"/>
      <c r="C28" s="145"/>
      <c r="D28" s="145"/>
      <c r="E28" s="159"/>
      <c r="F28" s="160"/>
      <c r="G28" s="161"/>
      <c r="H28" s="161"/>
      <c r="I28" s="149"/>
      <c r="J28" s="58"/>
      <c r="K28" s="58"/>
      <c r="L28" s="58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62">
        <f>((O28*0.5)+(R28*0.15)+(V28*0.35))</f>
        <v>0</v>
      </c>
      <c r="X28" s="59"/>
      <c r="Y28" s="59"/>
    </row>
    <row r="29" spans="2:25" s="6" customFormat="1" ht="117" customHeight="1" x14ac:dyDescent="0.25">
      <c r="B29" s="145"/>
      <c r="C29" s="145"/>
      <c r="D29" s="145"/>
      <c r="E29" s="159"/>
      <c r="F29" s="160"/>
      <c r="G29" s="161"/>
      <c r="H29" s="161"/>
      <c r="I29" s="149"/>
      <c r="J29" s="58"/>
      <c r="K29" s="58"/>
      <c r="L29" s="58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62">
        <f t="shared" ref="W29:W34" si="5">((O29*0.5)+(R29*0.15)+(V29*0.35))</f>
        <v>0</v>
      </c>
      <c r="X29" s="59"/>
      <c r="Y29" s="59"/>
    </row>
    <row r="30" spans="2:25" s="6" customFormat="1" ht="123" customHeight="1" x14ac:dyDescent="0.25">
      <c r="B30" s="145"/>
      <c r="C30" s="145"/>
      <c r="D30" s="145"/>
      <c r="E30" s="159"/>
      <c r="F30" s="160"/>
      <c r="G30" s="161"/>
      <c r="H30" s="161"/>
      <c r="I30" s="149"/>
      <c r="J30" s="58"/>
      <c r="K30" s="58"/>
      <c r="L30" s="58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62">
        <f t="shared" si="5"/>
        <v>0</v>
      </c>
      <c r="X30" s="59"/>
      <c r="Y30" s="59"/>
    </row>
    <row r="31" spans="2:25" s="6" customFormat="1" ht="111" customHeight="1" x14ac:dyDescent="0.25">
      <c r="B31" s="145"/>
      <c r="C31" s="145"/>
      <c r="D31" s="145"/>
      <c r="E31" s="159"/>
      <c r="F31" s="160"/>
      <c r="G31" s="148"/>
      <c r="H31" s="148"/>
      <c r="I31" s="144"/>
      <c r="J31" s="58"/>
      <c r="K31" s="58"/>
      <c r="L31" s="58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62">
        <f t="shared" si="5"/>
        <v>0</v>
      </c>
      <c r="X31" s="59"/>
      <c r="Y31" s="59"/>
    </row>
    <row r="32" spans="2:25" s="6" customFormat="1" ht="125.25" customHeight="1" x14ac:dyDescent="0.25">
      <c r="B32" s="145"/>
      <c r="C32" s="145"/>
      <c r="D32" s="145"/>
      <c r="E32" s="77"/>
      <c r="F32" s="72"/>
      <c r="G32" s="72"/>
      <c r="H32" s="72"/>
      <c r="I32" s="143"/>
      <c r="J32" s="58"/>
      <c r="K32" s="58"/>
      <c r="L32" s="58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62">
        <f t="shared" ref="W32" si="6">((O32*0.5)+(R32*0.15)+(V32*0.35))</f>
        <v>0</v>
      </c>
      <c r="X32" s="59"/>
      <c r="Y32" s="59"/>
    </row>
    <row r="33" spans="2:25" s="6" customFormat="1" ht="125.25" customHeight="1" x14ac:dyDescent="0.25">
      <c r="B33" s="145"/>
      <c r="C33" s="145"/>
      <c r="D33" s="145"/>
      <c r="E33" s="77"/>
      <c r="F33" s="72"/>
      <c r="G33" s="72"/>
      <c r="H33" s="72"/>
      <c r="I33" s="144"/>
      <c r="J33" s="58"/>
      <c r="K33" s="58"/>
      <c r="L33" s="58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62">
        <f t="shared" ref="W33" si="7">((O33*0.5)+(R33*0.15)+(V33*0.35))</f>
        <v>0</v>
      </c>
      <c r="X33" s="59"/>
      <c r="Y33" s="59"/>
    </row>
    <row r="34" spans="2:25" s="8" customFormat="1" ht="63.75" customHeight="1" x14ac:dyDescent="0.25">
      <c r="B34" s="145"/>
      <c r="C34" s="145"/>
      <c r="D34" s="145"/>
      <c r="E34" s="159"/>
      <c r="F34" s="160"/>
      <c r="G34" s="147"/>
      <c r="H34" s="147"/>
      <c r="I34" s="143"/>
      <c r="J34" s="58"/>
      <c r="K34" s="58"/>
      <c r="L34" s="58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62">
        <f t="shared" si="5"/>
        <v>0</v>
      </c>
      <c r="X34" s="59"/>
      <c r="Y34" s="59"/>
    </row>
    <row r="35" spans="2:25" s="6" customFormat="1" ht="75" customHeight="1" x14ac:dyDescent="0.25">
      <c r="B35" s="145"/>
      <c r="C35" s="145"/>
      <c r="D35" s="145"/>
      <c r="E35" s="159"/>
      <c r="F35" s="160"/>
      <c r="G35" s="161"/>
      <c r="H35" s="161"/>
      <c r="I35" s="149"/>
      <c r="J35" s="58"/>
      <c r="K35" s="58"/>
      <c r="L35" s="58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62">
        <f>((O35*0.5)+(R35*0.15)+(V35*0.35))</f>
        <v>0</v>
      </c>
      <c r="X35" s="59"/>
      <c r="Y35" s="59"/>
    </row>
    <row r="36" spans="2:25" s="6" customFormat="1" ht="85.5" customHeight="1" x14ac:dyDescent="0.25">
      <c r="B36" s="145"/>
      <c r="C36" s="145"/>
      <c r="D36" s="145"/>
      <c r="E36" s="159"/>
      <c r="F36" s="160"/>
      <c r="G36" s="161"/>
      <c r="H36" s="161"/>
      <c r="I36" s="149"/>
      <c r="J36" s="58"/>
      <c r="K36" s="58"/>
      <c r="L36" s="58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62">
        <f t="shared" ref="W36:W37" si="8">((O36*0.5)+(R36*0.15)+(V36*0.35))</f>
        <v>0</v>
      </c>
      <c r="X36" s="59"/>
      <c r="Y36" s="59"/>
    </row>
    <row r="37" spans="2:25" s="6" customFormat="1" ht="90.75" customHeight="1" x14ac:dyDescent="0.25">
      <c r="B37" s="145"/>
      <c r="C37" s="145"/>
      <c r="D37" s="145"/>
      <c r="E37" s="159"/>
      <c r="F37" s="160"/>
      <c r="G37" s="148"/>
      <c r="H37" s="148"/>
      <c r="I37" s="144"/>
      <c r="J37" s="58"/>
      <c r="K37" s="58"/>
      <c r="L37" s="58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62">
        <f t="shared" si="8"/>
        <v>0</v>
      </c>
      <c r="X37" s="59"/>
      <c r="Y37" s="59"/>
    </row>
    <row r="38" spans="2:25" s="6" customFormat="1" ht="263.25" customHeight="1" x14ac:dyDescent="0.25">
      <c r="B38" s="145"/>
      <c r="C38" s="145"/>
      <c r="D38" s="145"/>
      <c r="E38" s="77"/>
      <c r="F38" s="72"/>
      <c r="G38" s="74"/>
      <c r="H38" s="74"/>
      <c r="I38" s="76"/>
      <c r="J38" s="58"/>
      <c r="K38" s="58"/>
      <c r="L38" s="58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62">
        <f t="shared" ref="W38" si="9">((O38*0.5)+(R38*0.15)+(V38*0.35))</f>
        <v>0</v>
      </c>
      <c r="X38" s="59"/>
      <c r="Y38" s="59"/>
    </row>
    <row r="39" spans="2:25" s="8" customFormat="1" ht="228.75" customHeight="1" x14ac:dyDescent="0.25">
      <c r="B39" s="145"/>
      <c r="C39" s="145"/>
      <c r="D39" s="145"/>
      <c r="E39" s="79"/>
      <c r="F39" s="66"/>
      <c r="G39" s="66"/>
      <c r="H39" s="66"/>
      <c r="I39" s="80"/>
      <c r="J39" s="58"/>
      <c r="K39" s="58"/>
      <c r="L39" s="58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62">
        <f t="shared" ref="W39:W53" si="10">((O39*0.5)+(R39*0.15)+(V39*0.35))</f>
        <v>0</v>
      </c>
      <c r="X39" s="59"/>
      <c r="Y39" s="59"/>
    </row>
    <row r="40" spans="2:25" s="8" customFormat="1" ht="225.75" customHeight="1" x14ac:dyDescent="0.25">
      <c r="B40" s="145"/>
      <c r="C40" s="145"/>
      <c r="D40" s="145"/>
      <c r="E40" s="79"/>
      <c r="F40" s="72"/>
      <c r="G40" s="72"/>
      <c r="H40" s="72"/>
      <c r="I40" s="80"/>
      <c r="J40" s="58"/>
      <c r="K40" s="58"/>
      <c r="L40" s="58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62">
        <f t="shared" ref="W40" si="11">((O40*0.5)+(R40*0.15)+(V40*0.35))</f>
        <v>0</v>
      </c>
      <c r="X40" s="59"/>
      <c r="Y40" s="59"/>
    </row>
    <row r="41" spans="2:25" s="8" customFormat="1" ht="102" customHeight="1" x14ac:dyDescent="0.25">
      <c r="B41" s="145"/>
      <c r="C41" s="145"/>
      <c r="D41" s="145"/>
      <c r="E41" s="204"/>
      <c r="F41" s="160"/>
      <c r="G41" s="147"/>
      <c r="H41" s="147"/>
      <c r="I41" s="157"/>
      <c r="J41" s="58"/>
      <c r="K41" s="58"/>
      <c r="L41" s="58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62">
        <f t="shared" ref="W41" si="12">((O41*0.5)+(R41*0.15)+(V41*0.35))</f>
        <v>0</v>
      </c>
      <c r="X41" s="59"/>
      <c r="Y41" s="59"/>
    </row>
    <row r="42" spans="2:25" s="8" customFormat="1" ht="119.25" customHeight="1" x14ac:dyDescent="0.25">
      <c r="B42" s="145"/>
      <c r="C42" s="145"/>
      <c r="D42" s="145"/>
      <c r="E42" s="205"/>
      <c r="F42" s="160"/>
      <c r="G42" s="148"/>
      <c r="H42" s="148"/>
      <c r="I42" s="158"/>
      <c r="J42" s="58"/>
      <c r="K42" s="58"/>
      <c r="L42" s="58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62">
        <f t="shared" ref="W42" si="13">((O42*0.5)+(R42*0.15)+(V42*0.35))</f>
        <v>0</v>
      </c>
      <c r="X42" s="59"/>
      <c r="Y42" s="59"/>
    </row>
    <row r="43" spans="2:25" s="6" customFormat="1" ht="122.25" customHeight="1" x14ac:dyDescent="0.25">
      <c r="B43" s="145"/>
      <c r="C43" s="145"/>
      <c r="D43" s="145"/>
      <c r="E43" s="159"/>
      <c r="F43" s="160"/>
      <c r="G43" s="147"/>
      <c r="H43" s="147"/>
      <c r="I43" s="143"/>
      <c r="J43" s="58"/>
      <c r="K43" s="58"/>
      <c r="L43" s="58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62">
        <f t="shared" ref="W43" si="14">((O43*0.5)+(R43*0.15)+(V43*0.35))</f>
        <v>0</v>
      </c>
      <c r="X43" s="59"/>
      <c r="Y43" s="59"/>
    </row>
    <row r="44" spans="2:25" s="6" customFormat="1" ht="116.25" customHeight="1" x14ac:dyDescent="0.25">
      <c r="B44" s="145"/>
      <c r="C44" s="145"/>
      <c r="D44" s="145"/>
      <c r="E44" s="159"/>
      <c r="F44" s="160"/>
      <c r="G44" s="161"/>
      <c r="H44" s="161"/>
      <c r="I44" s="149"/>
      <c r="J44" s="58"/>
      <c r="K44" s="58"/>
      <c r="L44" s="58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62">
        <f>((O44*0.5)+(R44*0.15)+(V44*0.35))</f>
        <v>0</v>
      </c>
      <c r="X44" s="59"/>
      <c r="Y44" s="59"/>
    </row>
    <row r="45" spans="2:25" s="6" customFormat="1" ht="109.5" customHeight="1" x14ac:dyDescent="0.25">
      <c r="B45" s="145"/>
      <c r="C45" s="145"/>
      <c r="D45" s="145"/>
      <c r="E45" s="159"/>
      <c r="F45" s="160"/>
      <c r="G45" s="161"/>
      <c r="H45" s="161"/>
      <c r="I45" s="149"/>
      <c r="J45" s="58"/>
      <c r="K45" s="58"/>
      <c r="L45" s="58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62">
        <f>((O45*0.5)+(R45*0.15)+(V45*0.35))</f>
        <v>0</v>
      </c>
      <c r="X45" s="59"/>
      <c r="Y45" s="59"/>
    </row>
    <row r="46" spans="2:25" s="6" customFormat="1" ht="120" customHeight="1" x14ac:dyDescent="0.25">
      <c r="B46" s="145"/>
      <c r="C46" s="145"/>
      <c r="D46" s="145"/>
      <c r="E46" s="159"/>
      <c r="F46" s="160"/>
      <c r="G46" s="161"/>
      <c r="H46" s="161"/>
      <c r="I46" s="149"/>
      <c r="J46" s="58"/>
      <c r="K46" s="58"/>
      <c r="L46" s="58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62">
        <f t="shared" ref="W46:W47" si="15">((O46*0.5)+(R46*0.15)+(V46*0.35))</f>
        <v>0</v>
      </c>
      <c r="X46" s="59"/>
      <c r="Y46" s="59"/>
    </row>
    <row r="47" spans="2:25" s="6" customFormat="1" ht="117" customHeight="1" x14ac:dyDescent="0.25">
      <c r="B47" s="145"/>
      <c r="C47" s="145"/>
      <c r="D47" s="145"/>
      <c r="E47" s="159"/>
      <c r="F47" s="160"/>
      <c r="G47" s="148"/>
      <c r="H47" s="148"/>
      <c r="I47" s="144"/>
      <c r="J47" s="58"/>
      <c r="K47" s="58"/>
      <c r="L47" s="58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62">
        <f t="shared" si="15"/>
        <v>0</v>
      </c>
      <c r="X47" s="59"/>
      <c r="Y47" s="59"/>
    </row>
    <row r="48" spans="2:25" s="8" customFormat="1" ht="111" customHeight="1" x14ac:dyDescent="0.25">
      <c r="B48" s="145"/>
      <c r="C48" s="145"/>
      <c r="D48" s="145"/>
      <c r="E48" s="159"/>
      <c r="F48" s="160"/>
      <c r="G48" s="147"/>
      <c r="H48" s="147"/>
      <c r="I48" s="143"/>
      <c r="J48" s="58"/>
      <c r="K48" s="58"/>
      <c r="L48" s="58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62">
        <f t="shared" si="10"/>
        <v>0</v>
      </c>
      <c r="X48" s="59"/>
      <c r="Y48" s="59"/>
    </row>
    <row r="49" spans="2:25" s="6" customFormat="1" ht="106.5" customHeight="1" x14ac:dyDescent="0.25">
      <c r="B49" s="145"/>
      <c r="C49" s="145"/>
      <c r="D49" s="145"/>
      <c r="E49" s="159"/>
      <c r="F49" s="160"/>
      <c r="G49" s="161"/>
      <c r="H49" s="161"/>
      <c r="I49" s="149"/>
      <c r="J49" s="58"/>
      <c r="K49" s="58"/>
      <c r="L49" s="58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62">
        <f>((O49*0.5)+(R49*0.15)+(V49*0.35))</f>
        <v>0</v>
      </c>
      <c r="X49" s="59"/>
      <c r="Y49" s="59"/>
    </row>
    <row r="50" spans="2:25" s="6" customFormat="1" ht="103.5" customHeight="1" x14ac:dyDescent="0.25">
      <c r="B50" s="145"/>
      <c r="C50" s="145"/>
      <c r="D50" s="145"/>
      <c r="E50" s="159"/>
      <c r="F50" s="160"/>
      <c r="G50" s="161"/>
      <c r="H50" s="161"/>
      <c r="I50" s="149"/>
      <c r="J50" s="58"/>
      <c r="K50" s="58"/>
      <c r="L50" s="58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62">
        <f>((O50*0.5)+(R50*0.15)+(V50*0.35))</f>
        <v>0</v>
      </c>
      <c r="X50" s="59"/>
      <c r="Y50" s="59"/>
    </row>
    <row r="51" spans="2:25" s="6" customFormat="1" ht="113.25" customHeight="1" x14ac:dyDescent="0.25">
      <c r="B51" s="145"/>
      <c r="C51" s="145"/>
      <c r="D51" s="145"/>
      <c r="E51" s="159"/>
      <c r="F51" s="160"/>
      <c r="G51" s="161"/>
      <c r="H51" s="161"/>
      <c r="I51" s="149"/>
      <c r="J51" s="58"/>
      <c r="K51" s="58"/>
      <c r="L51" s="58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62">
        <f t="shared" ref="W51:W52" si="16">((O51*0.5)+(R51*0.15)+(V51*0.35))</f>
        <v>0</v>
      </c>
      <c r="X51" s="59"/>
      <c r="Y51" s="59"/>
    </row>
    <row r="52" spans="2:25" s="6" customFormat="1" ht="115.5" customHeight="1" x14ac:dyDescent="0.25">
      <c r="B52" s="145"/>
      <c r="C52" s="145"/>
      <c r="D52" s="145"/>
      <c r="E52" s="159"/>
      <c r="F52" s="160"/>
      <c r="G52" s="148"/>
      <c r="H52" s="148"/>
      <c r="I52" s="144"/>
      <c r="J52" s="58"/>
      <c r="K52" s="58"/>
      <c r="L52" s="58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62">
        <f t="shared" si="16"/>
        <v>0</v>
      </c>
      <c r="X52" s="59"/>
      <c r="Y52" s="59"/>
    </row>
    <row r="53" spans="2:25" s="7" customFormat="1" ht="140.25" customHeight="1" x14ac:dyDescent="0.25">
      <c r="B53" s="145"/>
      <c r="C53" s="145"/>
      <c r="D53" s="145"/>
      <c r="E53" s="159"/>
      <c r="F53" s="160"/>
      <c r="G53" s="147"/>
      <c r="H53" s="147"/>
      <c r="I53" s="143"/>
      <c r="J53" s="58"/>
      <c r="K53" s="58"/>
      <c r="L53" s="58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62">
        <f t="shared" si="10"/>
        <v>0</v>
      </c>
      <c r="X53" s="59"/>
      <c r="Y53" s="59"/>
    </row>
    <row r="54" spans="2:25" s="6" customFormat="1" ht="112.5" customHeight="1" x14ac:dyDescent="0.25">
      <c r="B54" s="145"/>
      <c r="C54" s="145"/>
      <c r="D54" s="145"/>
      <c r="E54" s="159"/>
      <c r="F54" s="160"/>
      <c r="G54" s="161"/>
      <c r="H54" s="161"/>
      <c r="I54" s="149"/>
      <c r="J54" s="63"/>
      <c r="K54" s="58"/>
      <c r="L54" s="58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62">
        <f>((O54*0.5)+(R54*0.15)+(V54*0.35))</f>
        <v>0</v>
      </c>
      <c r="X54" s="59"/>
      <c r="Y54" s="59"/>
    </row>
    <row r="55" spans="2:25" s="6" customFormat="1" ht="124.5" customHeight="1" x14ac:dyDescent="0.25">
      <c r="B55" s="145"/>
      <c r="C55" s="145"/>
      <c r="D55" s="145"/>
      <c r="E55" s="159"/>
      <c r="F55" s="160"/>
      <c r="G55" s="161"/>
      <c r="H55" s="161"/>
      <c r="I55" s="149"/>
      <c r="J55" s="58"/>
      <c r="K55" s="58"/>
      <c r="L55" s="58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62">
        <f>((O55*0.5)+(R55*0.15)+(V55*0.35))</f>
        <v>0</v>
      </c>
      <c r="X55" s="59"/>
      <c r="Y55" s="59"/>
    </row>
    <row r="56" spans="2:25" s="6" customFormat="1" ht="110.25" customHeight="1" x14ac:dyDescent="0.25">
      <c r="B56" s="145"/>
      <c r="C56" s="145"/>
      <c r="D56" s="145"/>
      <c r="E56" s="159"/>
      <c r="F56" s="160"/>
      <c r="G56" s="161"/>
      <c r="H56" s="161"/>
      <c r="I56" s="149"/>
      <c r="J56" s="58"/>
      <c r="K56" s="58"/>
      <c r="L56" s="58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62">
        <f t="shared" ref="W56:W57" si="17">((O56*0.5)+(R56*0.15)+(V56*0.35))</f>
        <v>0</v>
      </c>
      <c r="X56" s="59"/>
      <c r="Y56" s="59"/>
    </row>
    <row r="57" spans="2:25" s="6" customFormat="1" ht="123" customHeight="1" x14ac:dyDescent="0.25">
      <c r="B57" s="145"/>
      <c r="C57" s="145"/>
      <c r="D57" s="145"/>
      <c r="E57" s="159"/>
      <c r="F57" s="160"/>
      <c r="G57" s="148"/>
      <c r="H57" s="148"/>
      <c r="I57" s="144"/>
      <c r="J57" s="58"/>
      <c r="K57" s="58"/>
      <c r="L57" s="58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62">
        <f t="shared" si="17"/>
        <v>0</v>
      </c>
      <c r="X57" s="59"/>
      <c r="Y57" s="59"/>
    </row>
    <row r="58" spans="2:25" s="6" customFormat="1" ht="237" customHeight="1" x14ac:dyDescent="0.25">
      <c r="B58" s="145"/>
      <c r="C58" s="145"/>
      <c r="D58" s="145"/>
      <c r="E58" s="77"/>
      <c r="F58" s="72"/>
      <c r="G58" s="72"/>
      <c r="H58" s="72"/>
      <c r="I58" s="58"/>
      <c r="J58" s="58"/>
      <c r="K58" s="58"/>
      <c r="L58" s="58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62">
        <f t="shared" ref="W58" si="18">((O58*0.5)+(R58*0.15)+(V58*0.35))</f>
        <v>0</v>
      </c>
      <c r="X58" s="59"/>
      <c r="Y58" s="59"/>
    </row>
    <row r="59" spans="2:25" s="7" customFormat="1" ht="111.75" customHeight="1" x14ac:dyDescent="0.25">
      <c r="B59" s="145"/>
      <c r="C59" s="145"/>
      <c r="D59" s="145"/>
      <c r="E59" s="159"/>
      <c r="F59" s="160"/>
      <c r="G59" s="147"/>
      <c r="H59" s="147"/>
      <c r="I59" s="143"/>
      <c r="J59" s="63"/>
      <c r="K59" s="63"/>
      <c r="L59" s="63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5">
        <f t="shared" ref="W59:W65" si="19">((O59*0.5)+(R59*0.15)+(V59*0.35))</f>
        <v>0</v>
      </c>
      <c r="X59" s="64"/>
      <c r="Y59" s="59"/>
    </row>
    <row r="60" spans="2:25" s="6" customFormat="1" ht="129.75" customHeight="1" x14ac:dyDescent="0.25">
      <c r="B60" s="145"/>
      <c r="C60" s="145"/>
      <c r="D60" s="145"/>
      <c r="E60" s="159"/>
      <c r="F60" s="160"/>
      <c r="G60" s="161"/>
      <c r="H60" s="161"/>
      <c r="I60" s="149"/>
      <c r="J60" s="63"/>
      <c r="K60" s="58"/>
      <c r="L60" s="58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62">
        <f>((O60*0.5)+(R60*0.15)+(V60*0.35))</f>
        <v>0</v>
      </c>
      <c r="X60" s="59"/>
      <c r="Y60" s="59"/>
    </row>
    <row r="61" spans="2:25" s="6" customFormat="1" ht="128.25" customHeight="1" x14ac:dyDescent="0.25">
      <c r="B61" s="145"/>
      <c r="C61" s="145"/>
      <c r="D61" s="145"/>
      <c r="E61" s="159"/>
      <c r="F61" s="160"/>
      <c r="G61" s="161"/>
      <c r="H61" s="161"/>
      <c r="I61" s="149"/>
      <c r="J61" s="58"/>
      <c r="K61" s="58"/>
      <c r="L61" s="58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62">
        <f t="shared" ref="W61:W63" si="20">((O61*0.5)+(R61*0.15)+(V61*0.35))</f>
        <v>0</v>
      </c>
      <c r="X61" s="59"/>
      <c r="Y61" s="59"/>
    </row>
    <row r="62" spans="2:25" s="6" customFormat="1" ht="141" customHeight="1" x14ac:dyDescent="0.25">
      <c r="B62" s="145"/>
      <c r="C62" s="145"/>
      <c r="D62" s="145"/>
      <c r="E62" s="159"/>
      <c r="F62" s="160"/>
      <c r="G62" s="161"/>
      <c r="H62" s="161"/>
      <c r="I62" s="149"/>
      <c r="J62" s="58"/>
      <c r="K62" s="58"/>
      <c r="L62" s="58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62">
        <f t="shared" si="20"/>
        <v>0</v>
      </c>
      <c r="X62" s="59"/>
      <c r="Y62" s="59"/>
    </row>
    <row r="63" spans="2:25" s="7" customFormat="1" ht="131.25" customHeight="1" x14ac:dyDescent="0.25">
      <c r="B63" s="145"/>
      <c r="C63" s="145"/>
      <c r="D63" s="145"/>
      <c r="E63" s="159"/>
      <c r="F63" s="160"/>
      <c r="G63" s="148"/>
      <c r="H63" s="148"/>
      <c r="I63" s="144"/>
      <c r="J63" s="58"/>
      <c r="K63" s="58"/>
      <c r="L63" s="58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62">
        <f t="shared" si="20"/>
        <v>0</v>
      </c>
      <c r="X63" s="59"/>
      <c r="Y63" s="59"/>
    </row>
    <row r="64" spans="2:25" s="8" customFormat="1" ht="134.25" customHeight="1" x14ac:dyDescent="0.25">
      <c r="B64" s="145"/>
      <c r="C64" s="145"/>
      <c r="D64" s="145"/>
      <c r="E64" s="159"/>
      <c r="F64" s="160"/>
      <c r="G64" s="147"/>
      <c r="H64" s="147"/>
      <c r="I64" s="143"/>
      <c r="J64" s="58"/>
      <c r="K64" s="58"/>
      <c r="L64" s="58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62">
        <f t="shared" si="19"/>
        <v>0</v>
      </c>
      <c r="X64" s="59"/>
      <c r="Y64" s="59"/>
    </row>
    <row r="65" spans="2:25" s="8" customFormat="1" ht="117" customHeight="1" x14ac:dyDescent="0.25">
      <c r="B65" s="145"/>
      <c r="C65" s="145"/>
      <c r="D65" s="145"/>
      <c r="E65" s="159"/>
      <c r="F65" s="160"/>
      <c r="G65" s="148"/>
      <c r="H65" s="148"/>
      <c r="I65" s="144"/>
      <c r="J65" s="58"/>
      <c r="K65" s="58"/>
      <c r="L65" s="58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62">
        <f t="shared" si="19"/>
        <v>0</v>
      </c>
      <c r="X65" s="59"/>
      <c r="Y65" s="59"/>
    </row>
    <row r="66" spans="2:25" s="8" customFormat="1" ht="134.25" customHeight="1" x14ac:dyDescent="0.25">
      <c r="B66" s="145"/>
      <c r="C66" s="145"/>
      <c r="D66" s="145"/>
      <c r="E66" s="77"/>
      <c r="F66" s="72"/>
      <c r="G66" s="73"/>
      <c r="H66" s="73"/>
      <c r="I66" s="143"/>
      <c r="J66" s="75"/>
      <c r="K66" s="58"/>
      <c r="L66" s="58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62">
        <f t="shared" ref="W66" si="21">((O66*0.5)+(R66*0.15)+(V66*0.35))</f>
        <v>0</v>
      </c>
      <c r="X66" s="59"/>
      <c r="Y66" s="59"/>
    </row>
    <row r="67" spans="2:25" s="8" customFormat="1" ht="177.75" customHeight="1" x14ac:dyDescent="0.25">
      <c r="B67" s="145"/>
      <c r="C67" s="145"/>
      <c r="D67" s="145"/>
      <c r="E67" s="77"/>
      <c r="F67" s="72"/>
      <c r="G67" s="72"/>
      <c r="H67" s="72"/>
      <c r="I67" s="144"/>
      <c r="J67" s="58"/>
      <c r="K67" s="58"/>
      <c r="L67" s="58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62">
        <f t="shared" ref="W67" si="22">((O67*0.5)+(R67*0.15)+(V67*0.35))</f>
        <v>0</v>
      </c>
      <c r="X67" s="59"/>
      <c r="Y67" s="59"/>
    </row>
    <row r="68" spans="2:25" s="8" customFormat="1" ht="35.450000000000003" customHeight="1" x14ac:dyDescent="0.2">
      <c r="B68" s="67"/>
      <c r="C68" s="67"/>
      <c r="D68" s="67"/>
      <c r="E68" s="68"/>
      <c r="F68" s="68"/>
      <c r="G68" s="68"/>
      <c r="H68" s="68"/>
      <c r="I68" s="69"/>
      <c r="J68" s="69"/>
      <c r="K68" s="69"/>
      <c r="L68" s="69"/>
      <c r="M68" s="70"/>
      <c r="N68" s="70"/>
      <c r="O68" s="71"/>
      <c r="P68" s="71"/>
      <c r="Q68" s="71"/>
      <c r="R68" s="70"/>
      <c r="S68" s="70"/>
      <c r="T68" s="70"/>
      <c r="U68" s="70"/>
      <c r="V68" s="70"/>
      <c r="W68" s="1"/>
      <c r="X68" s="70"/>
      <c r="Y68" s="70"/>
    </row>
    <row r="69" spans="2:25" ht="15.75" customHeight="1" thickBot="1" x14ac:dyDescent="0.25">
      <c r="C69" s="171" t="s">
        <v>66</v>
      </c>
      <c r="D69" s="172"/>
      <c r="E69" s="173"/>
      <c r="F69" s="165" t="s">
        <v>52</v>
      </c>
      <c r="G69" s="166"/>
      <c r="H69" s="166"/>
      <c r="I69" s="166"/>
      <c r="J69" s="166"/>
      <c r="K69" s="166"/>
      <c r="L69" s="166"/>
      <c r="M69" s="167"/>
      <c r="O69" s="180" t="s">
        <v>89</v>
      </c>
      <c r="P69" s="180"/>
      <c r="Q69" s="180"/>
    </row>
    <row r="70" spans="2:25" ht="15.75" thickTop="1" thickBot="1" x14ac:dyDescent="0.25">
      <c r="C70" s="177" t="s">
        <v>67</v>
      </c>
      <c r="D70" s="178"/>
      <c r="E70" s="179"/>
      <c r="F70" s="168" t="s">
        <v>53</v>
      </c>
      <c r="G70" s="169"/>
      <c r="H70" s="169"/>
      <c r="I70" s="169"/>
      <c r="J70" s="169"/>
      <c r="K70" s="169"/>
      <c r="L70" s="169"/>
      <c r="M70" s="170"/>
    </row>
    <row r="71" spans="2:25" ht="15.75" thickTop="1" thickBot="1" x14ac:dyDescent="0.25">
      <c r="C71" s="174" t="s">
        <v>68</v>
      </c>
      <c r="D71" s="175"/>
      <c r="E71" s="176"/>
      <c r="F71" s="168" t="s">
        <v>54</v>
      </c>
      <c r="G71" s="169"/>
      <c r="H71" s="169"/>
      <c r="I71" s="169"/>
      <c r="J71" s="169"/>
      <c r="K71" s="169"/>
      <c r="L71" s="169"/>
      <c r="M71" s="170"/>
    </row>
    <row r="72" spans="2:25" ht="15.75" thickTop="1" thickBot="1" x14ac:dyDescent="0.25">
      <c r="C72" s="162" t="s">
        <v>51</v>
      </c>
      <c r="D72" s="163"/>
      <c r="E72" s="164"/>
      <c r="F72" s="168" t="s">
        <v>55</v>
      </c>
      <c r="G72" s="169"/>
      <c r="H72" s="169"/>
      <c r="I72" s="169"/>
      <c r="J72" s="169"/>
      <c r="K72" s="169"/>
      <c r="L72" s="169"/>
      <c r="M72" s="170"/>
    </row>
    <row r="73" spans="2:25" ht="15" thickTop="1" x14ac:dyDescent="0.2">
      <c r="C73" s="15"/>
      <c r="D73" s="15"/>
    </row>
    <row r="75" spans="2:25" ht="15" x14ac:dyDescent="0.2">
      <c r="I75" s="9"/>
    </row>
    <row r="76" spans="2:25" ht="15" x14ac:dyDescent="0.2">
      <c r="I76" s="9"/>
    </row>
    <row r="77" spans="2:25" ht="15" x14ac:dyDescent="0.2">
      <c r="I77" s="9"/>
    </row>
    <row r="78" spans="2:25" ht="15" x14ac:dyDescent="0.2">
      <c r="I78" s="9"/>
    </row>
  </sheetData>
  <mergeCells count="116">
    <mergeCell ref="I32:I33"/>
    <mergeCell ref="E41:E42"/>
    <mergeCell ref="F64:F65"/>
    <mergeCell ref="G64:G65"/>
    <mergeCell ref="H64:H65"/>
    <mergeCell ref="I64:I65"/>
    <mergeCell ref="E64:E65"/>
    <mergeCell ref="D12:D52"/>
    <mergeCell ref="D53:D58"/>
    <mergeCell ref="I59:I63"/>
    <mergeCell ref="E59:E63"/>
    <mergeCell ref="F59:F63"/>
    <mergeCell ref="G59:G63"/>
    <mergeCell ref="H59:H63"/>
    <mergeCell ref="I53:I57"/>
    <mergeCell ref="H53:H57"/>
    <mergeCell ref="G53:G57"/>
    <mergeCell ref="F53:F57"/>
    <mergeCell ref="E53:E57"/>
    <mergeCell ref="H48:H52"/>
    <mergeCell ref="G48:G52"/>
    <mergeCell ref="F48:F52"/>
    <mergeCell ref="E48:E52"/>
    <mergeCell ref="I48:I52"/>
    <mergeCell ref="E2:X7"/>
    <mergeCell ref="Y2:Y3"/>
    <mergeCell ref="Y6:Y7"/>
    <mergeCell ref="B2:D7"/>
    <mergeCell ref="E43:E47"/>
    <mergeCell ref="F43:F47"/>
    <mergeCell ref="G43:G47"/>
    <mergeCell ref="H43:H47"/>
    <mergeCell ref="I43:I47"/>
    <mergeCell ref="E17:E19"/>
    <mergeCell ref="F17:F19"/>
    <mergeCell ref="G17:G19"/>
    <mergeCell ref="N10:N11"/>
    <mergeCell ref="R8:R9"/>
    <mergeCell ref="P8:Q9"/>
    <mergeCell ref="D8:D11"/>
    <mergeCell ref="K8:L9"/>
    <mergeCell ref="K10:K11"/>
    <mergeCell ref="I17:I19"/>
    <mergeCell ref="H17:H19"/>
    <mergeCell ref="E12:E14"/>
    <mergeCell ref="H27:H31"/>
    <mergeCell ref="I27:I31"/>
    <mergeCell ref="I22:I26"/>
    <mergeCell ref="B1:D1"/>
    <mergeCell ref="E1:Y1"/>
    <mergeCell ref="V8:V9"/>
    <mergeCell ref="Q10:Q11"/>
    <mergeCell ref="T10:T11"/>
    <mergeCell ref="I10:I11"/>
    <mergeCell ref="V10:V11"/>
    <mergeCell ref="C8:C11"/>
    <mergeCell ref="S8:U9"/>
    <mergeCell ref="Y8:Y11"/>
    <mergeCell ref="U10:U11"/>
    <mergeCell ref="O8:O9"/>
    <mergeCell ref="X8:X11"/>
    <mergeCell ref="S10:S11"/>
    <mergeCell ref="P10:P11"/>
    <mergeCell ref="W8:W11"/>
    <mergeCell ref="M8:N9"/>
    <mergeCell ref="G10:G11"/>
    <mergeCell ref="H10:H11"/>
    <mergeCell ref="B8:B11"/>
    <mergeCell ref="M10:M11"/>
    <mergeCell ref="R10:R11"/>
    <mergeCell ref="O10:O11"/>
    <mergeCell ref="L10:L11"/>
    <mergeCell ref="C72:E72"/>
    <mergeCell ref="F69:M69"/>
    <mergeCell ref="F70:M70"/>
    <mergeCell ref="F71:M71"/>
    <mergeCell ref="F72:M72"/>
    <mergeCell ref="C69:E69"/>
    <mergeCell ref="C71:E71"/>
    <mergeCell ref="C70:E70"/>
    <mergeCell ref="O69:Q69"/>
    <mergeCell ref="F27:F31"/>
    <mergeCell ref="G27:G31"/>
    <mergeCell ref="F12:F14"/>
    <mergeCell ref="G12:G14"/>
    <mergeCell ref="H12:H14"/>
    <mergeCell ref="F22:F26"/>
    <mergeCell ref="E22:E26"/>
    <mergeCell ref="E20:E21"/>
    <mergeCell ref="F20:F21"/>
    <mergeCell ref="H22:H26"/>
    <mergeCell ref="G22:G26"/>
    <mergeCell ref="Y4:Y5"/>
    <mergeCell ref="I66:I67"/>
    <mergeCell ref="D59:D67"/>
    <mergeCell ref="C12:C67"/>
    <mergeCell ref="B12:B67"/>
    <mergeCell ref="I15:I16"/>
    <mergeCell ref="F10:F11"/>
    <mergeCell ref="J8:J11"/>
    <mergeCell ref="H20:H21"/>
    <mergeCell ref="I20:I21"/>
    <mergeCell ref="I12:I14"/>
    <mergeCell ref="E8:E11"/>
    <mergeCell ref="F8:I9"/>
    <mergeCell ref="H41:H42"/>
    <mergeCell ref="I41:I42"/>
    <mergeCell ref="E34:E37"/>
    <mergeCell ref="F34:F37"/>
    <mergeCell ref="G34:G37"/>
    <mergeCell ref="G20:G21"/>
    <mergeCell ref="F41:F42"/>
    <mergeCell ref="G41:G42"/>
    <mergeCell ref="H34:H37"/>
    <mergeCell ref="I34:I37"/>
    <mergeCell ref="E27:E31"/>
  </mergeCells>
  <conditionalFormatting sqref="W12 W22 W53 W17:W19 W39 W48 W61:W62">
    <cfRule type="cellIs" dxfId="197" priority="292" stopIfTrue="1" operator="between">
      <formula>50</formula>
      <formula>74</formula>
    </cfRule>
    <cfRule type="cellIs" dxfId="196" priority="293" stopIfTrue="1" operator="between">
      <formula>75</formula>
      <formula>200</formula>
    </cfRule>
    <cfRule type="cellIs" dxfId="195" priority="294" stopIfTrue="1" operator="between">
      <formula>0</formula>
      <formula>39</formula>
    </cfRule>
    <cfRule type="cellIs" dxfId="194" priority="295" stopIfTrue="1" operator="between">
      <formula>39</formula>
      <formula>4999999</formula>
    </cfRule>
    <cfRule type="cellIs" dxfId="193" priority="296" stopIfTrue="1" operator="between">
      <formula>50</formula>
      <formula>74.999</formula>
    </cfRule>
    <cfRule type="cellIs" dxfId="192" priority="297" stopIfTrue="1" operator="greaterThanOrEqual">
      <formula>75</formula>
    </cfRule>
  </conditionalFormatting>
  <conditionalFormatting sqref="W59">
    <cfRule type="cellIs" dxfId="191" priority="265" stopIfTrue="1" operator="between">
      <formula>50</formula>
      <formula>74</formula>
    </cfRule>
    <cfRule type="cellIs" dxfId="190" priority="266" stopIfTrue="1" operator="between">
      <formula>75</formula>
      <formula>200</formula>
    </cfRule>
    <cfRule type="cellIs" dxfId="189" priority="267" stopIfTrue="1" operator="between">
      <formula>0</formula>
      <formula>39</formula>
    </cfRule>
    <cfRule type="cellIs" dxfId="188" priority="268" stopIfTrue="1" operator="between">
      <formula>39</formula>
      <formula>4999999</formula>
    </cfRule>
    <cfRule type="cellIs" dxfId="187" priority="269" stopIfTrue="1" operator="between">
      <formula>50</formula>
      <formula>74.999</formula>
    </cfRule>
    <cfRule type="cellIs" dxfId="186" priority="270" stopIfTrue="1" operator="greaterThanOrEqual">
      <formula>75</formula>
    </cfRule>
  </conditionalFormatting>
  <conditionalFormatting sqref="W13">
    <cfRule type="cellIs" dxfId="185" priority="247" stopIfTrue="1" operator="between">
      <formula>50</formula>
      <formula>74</formula>
    </cfRule>
    <cfRule type="cellIs" dxfId="184" priority="248" stopIfTrue="1" operator="between">
      <formula>75</formula>
      <formula>200</formula>
    </cfRule>
    <cfRule type="cellIs" dxfId="183" priority="249" stopIfTrue="1" operator="between">
      <formula>0</formula>
      <formula>39</formula>
    </cfRule>
    <cfRule type="cellIs" dxfId="182" priority="250" stopIfTrue="1" operator="between">
      <formula>39</formula>
      <formula>4999999</formula>
    </cfRule>
    <cfRule type="cellIs" dxfId="181" priority="251" stopIfTrue="1" operator="between">
      <formula>50</formula>
      <formula>74.999</formula>
    </cfRule>
    <cfRule type="cellIs" dxfId="180" priority="252" stopIfTrue="1" operator="greaterThanOrEqual">
      <formula>75</formula>
    </cfRule>
  </conditionalFormatting>
  <conditionalFormatting sqref="W20">
    <cfRule type="cellIs" dxfId="179" priority="241" stopIfTrue="1" operator="between">
      <formula>50</formula>
      <formula>74</formula>
    </cfRule>
    <cfRule type="cellIs" dxfId="178" priority="242" stopIfTrue="1" operator="between">
      <formula>75</formula>
      <formula>200</formula>
    </cfRule>
    <cfRule type="cellIs" dxfId="177" priority="243" stopIfTrue="1" operator="between">
      <formula>0</formula>
      <formula>39</formula>
    </cfRule>
    <cfRule type="cellIs" dxfId="176" priority="244" stopIfTrue="1" operator="between">
      <formula>39</formula>
      <formula>4999999</formula>
    </cfRule>
    <cfRule type="cellIs" dxfId="175" priority="245" stopIfTrue="1" operator="between">
      <formula>50</formula>
      <formula>74.999</formula>
    </cfRule>
    <cfRule type="cellIs" dxfId="174" priority="246" stopIfTrue="1" operator="greaterThanOrEqual">
      <formula>75</formula>
    </cfRule>
  </conditionalFormatting>
  <conditionalFormatting sqref="W21">
    <cfRule type="cellIs" dxfId="173" priority="235" stopIfTrue="1" operator="between">
      <formula>50</formula>
      <formula>74</formula>
    </cfRule>
    <cfRule type="cellIs" dxfId="172" priority="236" stopIfTrue="1" operator="between">
      <formula>75</formula>
      <formula>200</formula>
    </cfRule>
    <cfRule type="cellIs" dxfId="171" priority="237" stopIfTrue="1" operator="between">
      <formula>0</formula>
      <formula>39</formula>
    </cfRule>
    <cfRule type="cellIs" dxfId="170" priority="238" stopIfTrue="1" operator="between">
      <formula>39</formula>
      <formula>4999999</formula>
    </cfRule>
    <cfRule type="cellIs" dxfId="169" priority="239" stopIfTrue="1" operator="between">
      <formula>50</formula>
      <formula>74.999</formula>
    </cfRule>
    <cfRule type="cellIs" dxfId="168" priority="240" stopIfTrue="1" operator="greaterThanOrEqual">
      <formula>75</formula>
    </cfRule>
  </conditionalFormatting>
  <conditionalFormatting sqref="W23:W25">
    <cfRule type="cellIs" dxfId="167" priority="229" stopIfTrue="1" operator="between">
      <formula>50</formula>
      <formula>74</formula>
    </cfRule>
    <cfRule type="cellIs" dxfId="166" priority="230" stopIfTrue="1" operator="between">
      <formula>75</formula>
      <formula>200</formula>
    </cfRule>
    <cfRule type="cellIs" dxfId="165" priority="231" stopIfTrue="1" operator="between">
      <formula>0</formula>
      <formula>39</formula>
    </cfRule>
    <cfRule type="cellIs" dxfId="164" priority="232" stopIfTrue="1" operator="between">
      <formula>39</formula>
      <formula>4999999</formula>
    </cfRule>
    <cfRule type="cellIs" dxfId="163" priority="233" stopIfTrue="1" operator="between">
      <formula>50</formula>
      <formula>74.999</formula>
    </cfRule>
    <cfRule type="cellIs" dxfId="162" priority="234" stopIfTrue="1" operator="greaterThanOrEqual">
      <formula>75</formula>
    </cfRule>
  </conditionalFormatting>
  <conditionalFormatting sqref="W26">
    <cfRule type="cellIs" dxfId="161" priority="223" stopIfTrue="1" operator="between">
      <formula>50</formula>
      <formula>74</formula>
    </cfRule>
    <cfRule type="cellIs" dxfId="160" priority="224" stopIfTrue="1" operator="between">
      <formula>75</formula>
      <formula>200</formula>
    </cfRule>
    <cfRule type="cellIs" dxfId="159" priority="225" stopIfTrue="1" operator="between">
      <formula>0</formula>
      <formula>39</formula>
    </cfRule>
    <cfRule type="cellIs" dxfId="158" priority="226" stopIfTrue="1" operator="between">
      <formula>39</formula>
      <formula>4999999</formula>
    </cfRule>
    <cfRule type="cellIs" dxfId="157" priority="227" stopIfTrue="1" operator="between">
      <formula>50</formula>
      <formula>74.999</formula>
    </cfRule>
    <cfRule type="cellIs" dxfId="156" priority="228" stopIfTrue="1" operator="greaterThanOrEqual">
      <formula>75</formula>
    </cfRule>
  </conditionalFormatting>
  <conditionalFormatting sqref="W14:W16">
    <cfRule type="cellIs" dxfId="155" priority="217" stopIfTrue="1" operator="between">
      <formula>50</formula>
      <formula>74</formula>
    </cfRule>
    <cfRule type="cellIs" dxfId="154" priority="218" stopIfTrue="1" operator="between">
      <formula>75</formula>
      <formula>200</formula>
    </cfRule>
    <cfRule type="cellIs" dxfId="153" priority="219" stopIfTrue="1" operator="between">
      <formula>0</formula>
      <formula>39</formula>
    </cfRule>
    <cfRule type="cellIs" dxfId="152" priority="220" stopIfTrue="1" operator="between">
      <formula>39</formula>
      <formula>4999999</formula>
    </cfRule>
    <cfRule type="cellIs" dxfId="151" priority="221" stopIfTrue="1" operator="between">
      <formula>50</formula>
      <formula>74.999</formula>
    </cfRule>
    <cfRule type="cellIs" dxfId="150" priority="222" stopIfTrue="1" operator="greaterThanOrEqual">
      <formula>75</formula>
    </cfRule>
  </conditionalFormatting>
  <conditionalFormatting sqref="W28:W30">
    <cfRule type="cellIs" dxfId="149" priority="205" stopIfTrue="1" operator="between">
      <formula>50</formula>
      <formula>74</formula>
    </cfRule>
    <cfRule type="cellIs" dxfId="148" priority="206" stopIfTrue="1" operator="between">
      <formula>75</formula>
      <formula>200</formula>
    </cfRule>
    <cfRule type="cellIs" dxfId="147" priority="207" stopIfTrue="1" operator="between">
      <formula>0</formula>
      <formula>39</formula>
    </cfRule>
    <cfRule type="cellIs" dxfId="146" priority="208" stopIfTrue="1" operator="between">
      <formula>39</formula>
      <formula>4999999</formula>
    </cfRule>
    <cfRule type="cellIs" dxfId="145" priority="209" stopIfTrue="1" operator="between">
      <formula>50</formula>
      <formula>74.999</formula>
    </cfRule>
    <cfRule type="cellIs" dxfId="144" priority="210" stopIfTrue="1" operator="greaterThanOrEqual">
      <formula>75</formula>
    </cfRule>
  </conditionalFormatting>
  <conditionalFormatting sqref="W31">
    <cfRule type="cellIs" dxfId="143" priority="199" stopIfTrue="1" operator="between">
      <formula>50</formula>
      <formula>74</formula>
    </cfRule>
    <cfRule type="cellIs" dxfId="142" priority="200" stopIfTrue="1" operator="between">
      <formula>75</formula>
      <formula>200</formula>
    </cfRule>
    <cfRule type="cellIs" dxfId="141" priority="201" stopIfTrue="1" operator="between">
      <formula>0</formula>
      <formula>39</formula>
    </cfRule>
    <cfRule type="cellIs" dxfId="140" priority="202" stopIfTrue="1" operator="between">
      <formula>39</formula>
      <formula>4999999</formula>
    </cfRule>
    <cfRule type="cellIs" dxfId="139" priority="203" stopIfTrue="1" operator="between">
      <formula>50</formula>
      <formula>74.999</formula>
    </cfRule>
    <cfRule type="cellIs" dxfId="138" priority="204" stopIfTrue="1" operator="greaterThanOrEqual">
      <formula>75</formula>
    </cfRule>
  </conditionalFormatting>
  <conditionalFormatting sqref="W27">
    <cfRule type="cellIs" dxfId="137" priority="193" stopIfTrue="1" operator="between">
      <formula>50</formula>
      <formula>74</formula>
    </cfRule>
    <cfRule type="cellIs" dxfId="136" priority="194" stopIfTrue="1" operator="between">
      <formula>75</formula>
      <formula>200</formula>
    </cfRule>
    <cfRule type="cellIs" dxfId="135" priority="195" stopIfTrue="1" operator="between">
      <formula>0</formula>
      <formula>39</formula>
    </cfRule>
    <cfRule type="cellIs" dxfId="134" priority="196" stopIfTrue="1" operator="between">
      <formula>39</formula>
      <formula>4999999</formula>
    </cfRule>
    <cfRule type="cellIs" dxfId="133" priority="197" stopIfTrue="1" operator="between">
      <formula>50</formula>
      <formula>74.999</formula>
    </cfRule>
    <cfRule type="cellIs" dxfId="132" priority="198" stopIfTrue="1" operator="greaterThanOrEqual">
      <formula>75</formula>
    </cfRule>
  </conditionalFormatting>
  <conditionalFormatting sqref="W34">
    <cfRule type="cellIs" dxfId="131" priority="187" stopIfTrue="1" operator="between">
      <formula>50</formula>
      <formula>74</formula>
    </cfRule>
    <cfRule type="cellIs" dxfId="130" priority="188" stopIfTrue="1" operator="between">
      <formula>75</formula>
      <formula>200</formula>
    </cfRule>
    <cfRule type="cellIs" dxfId="129" priority="189" stopIfTrue="1" operator="between">
      <formula>0</formula>
      <formula>39</formula>
    </cfRule>
    <cfRule type="cellIs" dxfId="128" priority="190" stopIfTrue="1" operator="between">
      <formula>39</formula>
      <formula>4999999</formula>
    </cfRule>
    <cfRule type="cellIs" dxfId="127" priority="191" stopIfTrue="1" operator="between">
      <formula>50</formula>
      <formula>74.999</formula>
    </cfRule>
    <cfRule type="cellIs" dxfId="126" priority="192" stopIfTrue="1" operator="greaterThanOrEqual">
      <formula>75</formula>
    </cfRule>
  </conditionalFormatting>
  <conditionalFormatting sqref="W35:W37">
    <cfRule type="cellIs" dxfId="125" priority="181" stopIfTrue="1" operator="between">
      <formula>50</formula>
      <formula>74</formula>
    </cfRule>
    <cfRule type="cellIs" dxfId="124" priority="182" stopIfTrue="1" operator="between">
      <formula>75</formula>
      <formula>200</formula>
    </cfRule>
    <cfRule type="cellIs" dxfId="123" priority="183" stopIfTrue="1" operator="between">
      <formula>0</formula>
      <formula>39</formula>
    </cfRule>
    <cfRule type="cellIs" dxfId="122" priority="184" stopIfTrue="1" operator="between">
      <formula>39</formula>
      <formula>4999999</formula>
    </cfRule>
    <cfRule type="cellIs" dxfId="121" priority="185" stopIfTrue="1" operator="between">
      <formula>50</formula>
      <formula>74.999</formula>
    </cfRule>
    <cfRule type="cellIs" dxfId="120" priority="186" stopIfTrue="1" operator="greaterThanOrEqual">
      <formula>75</formula>
    </cfRule>
  </conditionalFormatting>
  <conditionalFormatting sqref="W41">
    <cfRule type="cellIs" dxfId="119" priority="175" stopIfTrue="1" operator="between">
      <formula>50</formula>
      <formula>74</formula>
    </cfRule>
    <cfRule type="cellIs" dxfId="118" priority="176" stopIfTrue="1" operator="between">
      <formula>75</formula>
      <formula>200</formula>
    </cfRule>
    <cfRule type="cellIs" dxfId="117" priority="177" stopIfTrue="1" operator="between">
      <formula>0</formula>
      <formula>39</formula>
    </cfRule>
    <cfRule type="cellIs" dxfId="116" priority="178" stopIfTrue="1" operator="between">
      <formula>39</formula>
      <formula>4999999</formula>
    </cfRule>
    <cfRule type="cellIs" dxfId="115" priority="179" stopIfTrue="1" operator="between">
      <formula>50</formula>
      <formula>74.999</formula>
    </cfRule>
    <cfRule type="cellIs" dxfId="114" priority="180" stopIfTrue="1" operator="greaterThanOrEqual">
      <formula>75</formula>
    </cfRule>
  </conditionalFormatting>
  <conditionalFormatting sqref="W42">
    <cfRule type="cellIs" dxfId="113" priority="169" stopIfTrue="1" operator="between">
      <formula>50</formula>
      <formula>74</formula>
    </cfRule>
    <cfRule type="cellIs" dxfId="112" priority="170" stopIfTrue="1" operator="between">
      <formula>75</formula>
      <formula>200</formula>
    </cfRule>
    <cfRule type="cellIs" dxfId="111" priority="171" stopIfTrue="1" operator="between">
      <formula>0</formula>
      <formula>39</formula>
    </cfRule>
    <cfRule type="cellIs" dxfId="110" priority="172" stopIfTrue="1" operator="between">
      <formula>39</formula>
      <formula>4999999</formula>
    </cfRule>
    <cfRule type="cellIs" dxfId="109" priority="173" stopIfTrue="1" operator="between">
      <formula>50</formula>
      <formula>74.999</formula>
    </cfRule>
    <cfRule type="cellIs" dxfId="108" priority="174" stopIfTrue="1" operator="greaterThanOrEqual">
      <formula>75</formula>
    </cfRule>
  </conditionalFormatting>
  <conditionalFormatting sqref="W44">
    <cfRule type="cellIs" dxfId="107" priority="157" stopIfTrue="1" operator="between">
      <formula>50</formula>
      <formula>74</formula>
    </cfRule>
    <cfRule type="cellIs" dxfId="106" priority="158" stopIfTrue="1" operator="between">
      <formula>75</formula>
      <formula>200</formula>
    </cfRule>
    <cfRule type="cellIs" dxfId="105" priority="159" stopIfTrue="1" operator="between">
      <formula>0</formula>
      <formula>39</formula>
    </cfRule>
    <cfRule type="cellIs" dxfId="104" priority="160" stopIfTrue="1" operator="between">
      <formula>39</formula>
      <formula>4999999</formula>
    </cfRule>
    <cfRule type="cellIs" dxfId="103" priority="161" stopIfTrue="1" operator="between">
      <formula>50</formula>
      <formula>74.999</formula>
    </cfRule>
    <cfRule type="cellIs" dxfId="102" priority="162" stopIfTrue="1" operator="greaterThanOrEqual">
      <formula>75</formula>
    </cfRule>
  </conditionalFormatting>
  <conditionalFormatting sqref="W45:W47">
    <cfRule type="cellIs" dxfId="101" priority="151" stopIfTrue="1" operator="between">
      <formula>50</formula>
      <formula>74</formula>
    </cfRule>
    <cfRule type="cellIs" dxfId="100" priority="152" stopIfTrue="1" operator="between">
      <formula>75</formula>
      <formula>200</formula>
    </cfRule>
    <cfRule type="cellIs" dxfId="99" priority="153" stopIfTrue="1" operator="between">
      <formula>0</formula>
      <formula>39</formula>
    </cfRule>
    <cfRule type="cellIs" dxfId="98" priority="154" stopIfTrue="1" operator="between">
      <formula>39</formula>
      <formula>4999999</formula>
    </cfRule>
    <cfRule type="cellIs" dxfId="97" priority="155" stopIfTrue="1" operator="between">
      <formula>50</formula>
      <formula>74.999</formula>
    </cfRule>
    <cfRule type="cellIs" dxfId="96" priority="156" stopIfTrue="1" operator="greaterThanOrEqual">
      <formula>75</formula>
    </cfRule>
  </conditionalFormatting>
  <conditionalFormatting sqref="W43">
    <cfRule type="cellIs" dxfId="95" priority="145" stopIfTrue="1" operator="between">
      <formula>50</formula>
      <formula>74</formula>
    </cfRule>
    <cfRule type="cellIs" dxfId="94" priority="146" stopIfTrue="1" operator="between">
      <formula>75</formula>
      <formula>200</formula>
    </cfRule>
    <cfRule type="cellIs" dxfId="93" priority="147" stopIfTrue="1" operator="between">
      <formula>0</formula>
      <formula>39</formula>
    </cfRule>
    <cfRule type="cellIs" dxfId="92" priority="148" stopIfTrue="1" operator="between">
      <formula>39</formula>
      <formula>4999999</formula>
    </cfRule>
    <cfRule type="cellIs" dxfId="91" priority="149" stopIfTrue="1" operator="between">
      <formula>50</formula>
      <formula>74.999</formula>
    </cfRule>
    <cfRule type="cellIs" dxfId="90" priority="150" stopIfTrue="1" operator="greaterThanOrEqual">
      <formula>75</formula>
    </cfRule>
  </conditionalFormatting>
  <conditionalFormatting sqref="W49">
    <cfRule type="cellIs" dxfId="89" priority="139" stopIfTrue="1" operator="between">
      <formula>50</formula>
      <formula>74</formula>
    </cfRule>
    <cfRule type="cellIs" dxfId="88" priority="140" stopIfTrue="1" operator="between">
      <formula>75</formula>
      <formula>200</formula>
    </cfRule>
    <cfRule type="cellIs" dxfId="87" priority="141" stopIfTrue="1" operator="between">
      <formula>0</formula>
      <formula>39</formula>
    </cfRule>
    <cfRule type="cellIs" dxfId="86" priority="142" stopIfTrue="1" operator="between">
      <formula>39</formula>
      <formula>4999999</formula>
    </cfRule>
    <cfRule type="cellIs" dxfId="85" priority="143" stopIfTrue="1" operator="between">
      <formula>50</formula>
      <formula>74.999</formula>
    </cfRule>
    <cfRule type="cellIs" dxfId="84" priority="144" stopIfTrue="1" operator="greaterThanOrEqual">
      <formula>75</formula>
    </cfRule>
  </conditionalFormatting>
  <conditionalFormatting sqref="W50:W52">
    <cfRule type="cellIs" dxfId="83" priority="133" stopIfTrue="1" operator="between">
      <formula>50</formula>
      <formula>74</formula>
    </cfRule>
    <cfRule type="cellIs" dxfId="82" priority="134" stopIfTrue="1" operator="between">
      <formula>75</formula>
      <formula>200</formula>
    </cfRule>
    <cfRule type="cellIs" dxfId="81" priority="135" stopIfTrue="1" operator="between">
      <formula>0</formula>
      <formula>39</formula>
    </cfRule>
    <cfRule type="cellIs" dxfId="80" priority="136" stopIfTrue="1" operator="between">
      <formula>39</formula>
      <formula>4999999</formula>
    </cfRule>
    <cfRule type="cellIs" dxfId="79" priority="137" stopIfTrue="1" operator="between">
      <formula>50</formula>
      <formula>74.999</formula>
    </cfRule>
    <cfRule type="cellIs" dxfId="78" priority="138" stopIfTrue="1" operator="greaterThanOrEqual">
      <formula>75</formula>
    </cfRule>
  </conditionalFormatting>
  <conditionalFormatting sqref="W54">
    <cfRule type="cellIs" dxfId="77" priority="109" stopIfTrue="1" operator="between">
      <formula>50</formula>
      <formula>74</formula>
    </cfRule>
    <cfRule type="cellIs" dxfId="76" priority="110" stopIfTrue="1" operator="between">
      <formula>75</formula>
      <formula>200</formula>
    </cfRule>
    <cfRule type="cellIs" dxfId="75" priority="111" stopIfTrue="1" operator="between">
      <formula>0</formula>
      <formula>39</formula>
    </cfRule>
    <cfRule type="cellIs" dxfId="74" priority="112" stopIfTrue="1" operator="between">
      <formula>39</formula>
      <formula>4999999</formula>
    </cfRule>
    <cfRule type="cellIs" dxfId="73" priority="113" stopIfTrue="1" operator="between">
      <formula>50</formula>
      <formula>74.999</formula>
    </cfRule>
    <cfRule type="cellIs" dxfId="72" priority="114" stopIfTrue="1" operator="greaterThanOrEqual">
      <formula>75</formula>
    </cfRule>
  </conditionalFormatting>
  <conditionalFormatting sqref="W55:W57">
    <cfRule type="cellIs" dxfId="71" priority="115" stopIfTrue="1" operator="between">
      <formula>50</formula>
      <formula>74</formula>
    </cfRule>
    <cfRule type="cellIs" dxfId="70" priority="116" stopIfTrue="1" operator="between">
      <formula>75</formula>
      <formula>200</formula>
    </cfRule>
    <cfRule type="cellIs" dxfId="69" priority="117" stopIfTrue="1" operator="between">
      <formula>0</formula>
      <formula>39</formula>
    </cfRule>
    <cfRule type="cellIs" dxfId="68" priority="118" stopIfTrue="1" operator="between">
      <formula>39</formula>
      <formula>4999999</formula>
    </cfRule>
    <cfRule type="cellIs" dxfId="67" priority="119" stopIfTrue="1" operator="between">
      <formula>50</formula>
      <formula>74.999</formula>
    </cfRule>
    <cfRule type="cellIs" dxfId="66" priority="120" stopIfTrue="1" operator="greaterThanOrEqual">
      <formula>75</formula>
    </cfRule>
  </conditionalFormatting>
  <conditionalFormatting sqref="W60">
    <cfRule type="cellIs" dxfId="65" priority="85" stopIfTrue="1" operator="between">
      <formula>50</formula>
      <formula>74</formula>
    </cfRule>
    <cfRule type="cellIs" dxfId="64" priority="86" stopIfTrue="1" operator="between">
      <formula>75</formula>
      <formula>200</formula>
    </cfRule>
    <cfRule type="cellIs" dxfId="63" priority="87" stopIfTrue="1" operator="between">
      <formula>0</formula>
      <formula>39</formula>
    </cfRule>
    <cfRule type="cellIs" dxfId="62" priority="88" stopIfTrue="1" operator="between">
      <formula>39</formula>
      <formula>4999999</formula>
    </cfRule>
    <cfRule type="cellIs" dxfId="61" priority="89" stopIfTrue="1" operator="between">
      <formula>50</formula>
      <formula>74.999</formula>
    </cfRule>
    <cfRule type="cellIs" dxfId="60" priority="90" stopIfTrue="1" operator="greaterThanOrEqual">
      <formula>75</formula>
    </cfRule>
  </conditionalFormatting>
  <conditionalFormatting sqref="W63">
    <cfRule type="cellIs" dxfId="59" priority="79" stopIfTrue="1" operator="between">
      <formula>50</formula>
      <formula>74</formula>
    </cfRule>
    <cfRule type="cellIs" dxfId="58" priority="80" stopIfTrue="1" operator="between">
      <formula>75</formula>
      <formula>200</formula>
    </cfRule>
    <cfRule type="cellIs" dxfId="57" priority="81" stopIfTrue="1" operator="between">
      <formula>0</formula>
      <formula>39</formula>
    </cfRule>
    <cfRule type="cellIs" dxfId="56" priority="82" stopIfTrue="1" operator="between">
      <formula>39</formula>
      <formula>4999999</formula>
    </cfRule>
    <cfRule type="cellIs" dxfId="55" priority="83" stopIfTrue="1" operator="between">
      <formula>50</formula>
      <formula>74.999</formula>
    </cfRule>
    <cfRule type="cellIs" dxfId="54" priority="84" stopIfTrue="1" operator="greaterThanOrEqual">
      <formula>75</formula>
    </cfRule>
  </conditionalFormatting>
  <conditionalFormatting sqref="W64">
    <cfRule type="cellIs" dxfId="53" priority="73" stopIfTrue="1" operator="between">
      <formula>50</formula>
      <formula>74</formula>
    </cfRule>
    <cfRule type="cellIs" dxfId="52" priority="74" stopIfTrue="1" operator="between">
      <formula>75</formula>
      <formula>200</formula>
    </cfRule>
    <cfRule type="cellIs" dxfId="51" priority="75" stopIfTrue="1" operator="between">
      <formula>0</formula>
      <formula>39</formula>
    </cfRule>
    <cfRule type="cellIs" dxfId="50" priority="76" stopIfTrue="1" operator="between">
      <formula>39</formula>
      <formula>4999999</formula>
    </cfRule>
    <cfRule type="cellIs" dxfId="49" priority="77" stopIfTrue="1" operator="between">
      <formula>50</formula>
      <formula>74.999</formula>
    </cfRule>
    <cfRule type="cellIs" dxfId="48" priority="78" stopIfTrue="1" operator="greaterThanOrEqual">
      <formula>75</formula>
    </cfRule>
  </conditionalFormatting>
  <conditionalFormatting sqref="W65">
    <cfRule type="cellIs" dxfId="47" priority="67" stopIfTrue="1" operator="between">
      <formula>50</formula>
      <formula>74</formula>
    </cfRule>
    <cfRule type="cellIs" dxfId="46" priority="68" stopIfTrue="1" operator="between">
      <formula>75</formula>
      <formula>200</formula>
    </cfRule>
    <cfRule type="cellIs" dxfId="45" priority="69" stopIfTrue="1" operator="between">
      <formula>0</formula>
      <formula>39</formula>
    </cfRule>
    <cfRule type="cellIs" dxfId="44" priority="70" stopIfTrue="1" operator="between">
      <formula>39</formula>
      <formula>4999999</formula>
    </cfRule>
    <cfRule type="cellIs" dxfId="43" priority="71" stopIfTrue="1" operator="between">
      <formula>50</formula>
      <formula>74.999</formula>
    </cfRule>
    <cfRule type="cellIs" dxfId="42" priority="72" stopIfTrue="1" operator="greaterThanOrEqual">
      <formula>75</formula>
    </cfRule>
  </conditionalFormatting>
  <conditionalFormatting sqref="W38">
    <cfRule type="cellIs" dxfId="41" priority="49" stopIfTrue="1" operator="between">
      <formula>50</formula>
      <formula>74</formula>
    </cfRule>
    <cfRule type="cellIs" dxfId="40" priority="50" stopIfTrue="1" operator="between">
      <formula>75</formula>
      <formula>200</formula>
    </cfRule>
    <cfRule type="cellIs" dxfId="39" priority="51" stopIfTrue="1" operator="between">
      <formula>0</formula>
      <formula>39</formula>
    </cfRule>
    <cfRule type="cellIs" dxfId="38" priority="52" stopIfTrue="1" operator="between">
      <formula>39</formula>
      <formula>4999999</formula>
    </cfRule>
    <cfRule type="cellIs" dxfId="37" priority="53" stopIfTrue="1" operator="between">
      <formula>50</formula>
      <formula>74.999</formula>
    </cfRule>
    <cfRule type="cellIs" dxfId="36" priority="54" stopIfTrue="1" operator="greaterThanOrEqual">
      <formula>75</formula>
    </cfRule>
  </conditionalFormatting>
  <conditionalFormatting sqref="W40">
    <cfRule type="cellIs" dxfId="35" priority="43" stopIfTrue="1" operator="between">
      <formula>50</formula>
      <formula>74</formula>
    </cfRule>
    <cfRule type="cellIs" dxfId="34" priority="44" stopIfTrue="1" operator="between">
      <formula>75</formula>
      <formula>200</formula>
    </cfRule>
    <cfRule type="cellIs" dxfId="33" priority="45" stopIfTrue="1" operator="between">
      <formula>0</formula>
      <formula>39</formula>
    </cfRule>
    <cfRule type="cellIs" dxfId="32" priority="46" stopIfTrue="1" operator="between">
      <formula>39</formula>
      <formula>4999999</formula>
    </cfRule>
    <cfRule type="cellIs" dxfId="31" priority="47" stopIfTrue="1" operator="between">
      <formula>50</formula>
      <formula>74.999</formula>
    </cfRule>
    <cfRule type="cellIs" dxfId="30" priority="48" stopIfTrue="1" operator="greaterThanOrEqual">
      <formula>75</formula>
    </cfRule>
  </conditionalFormatting>
  <conditionalFormatting sqref="W32">
    <cfRule type="cellIs" dxfId="29" priority="37" stopIfTrue="1" operator="between">
      <formula>50</formula>
      <formula>74</formula>
    </cfRule>
    <cfRule type="cellIs" dxfId="28" priority="38" stopIfTrue="1" operator="between">
      <formula>75</formula>
      <formula>200</formula>
    </cfRule>
    <cfRule type="cellIs" dxfId="27" priority="39" stopIfTrue="1" operator="between">
      <formula>0</formula>
      <formula>39</formula>
    </cfRule>
    <cfRule type="cellIs" dxfId="26" priority="40" stopIfTrue="1" operator="between">
      <formula>39</formula>
      <formula>4999999</formula>
    </cfRule>
    <cfRule type="cellIs" dxfId="25" priority="41" stopIfTrue="1" operator="between">
      <formula>50</formula>
      <formula>74.999</formula>
    </cfRule>
    <cfRule type="cellIs" dxfId="24" priority="42" stopIfTrue="1" operator="greaterThanOrEqual">
      <formula>75</formula>
    </cfRule>
  </conditionalFormatting>
  <conditionalFormatting sqref="W33">
    <cfRule type="cellIs" dxfId="23" priority="31" stopIfTrue="1" operator="between">
      <formula>50</formula>
      <formula>74</formula>
    </cfRule>
    <cfRule type="cellIs" dxfId="22" priority="32" stopIfTrue="1" operator="between">
      <formula>75</formula>
      <formula>200</formula>
    </cfRule>
    <cfRule type="cellIs" dxfId="21" priority="33" stopIfTrue="1" operator="between">
      <formula>0</formula>
      <formula>39</formula>
    </cfRule>
    <cfRule type="cellIs" dxfId="20" priority="34" stopIfTrue="1" operator="between">
      <formula>39</formula>
      <formula>4999999</formula>
    </cfRule>
    <cfRule type="cellIs" dxfId="19" priority="35" stopIfTrue="1" operator="between">
      <formula>50</formula>
      <formula>74.999</formula>
    </cfRule>
    <cfRule type="cellIs" dxfId="18" priority="36" stopIfTrue="1" operator="greaterThanOrEqual">
      <formula>75</formula>
    </cfRule>
  </conditionalFormatting>
  <conditionalFormatting sqref="W58">
    <cfRule type="cellIs" dxfId="17" priority="25" stopIfTrue="1" operator="between">
      <formula>50</formula>
      <formula>74</formula>
    </cfRule>
    <cfRule type="cellIs" dxfId="16" priority="26" stopIfTrue="1" operator="between">
      <formula>75</formula>
      <formula>200</formula>
    </cfRule>
    <cfRule type="cellIs" dxfId="15" priority="27" stopIfTrue="1" operator="between">
      <formula>0</formula>
      <formula>39</formula>
    </cfRule>
    <cfRule type="cellIs" dxfId="14" priority="28" stopIfTrue="1" operator="between">
      <formula>39</formula>
      <formula>4999999</formula>
    </cfRule>
    <cfRule type="cellIs" dxfId="13" priority="29" stopIfTrue="1" operator="between">
      <formula>50</formula>
      <formula>74.999</formula>
    </cfRule>
    <cfRule type="cellIs" dxfId="12" priority="30" stopIfTrue="1" operator="greaterThanOrEqual">
      <formula>75</formula>
    </cfRule>
  </conditionalFormatting>
  <conditionalFormatting sqref="W66">
    <cfRule type="cellIs" dxfId="11" priority="19" stopIfTrue="1" operator="between">
      <formula>50</formula>
      <formula>74</formula>
    </cfRule>
    <cfRule type="cellIs" dxfId="10" priority="20" stopIfTrue="1" operator="between">
      <formula>75</formula>
      <formula>200</formula>
    </cfRule>
    <cfRule type="cellIs" dxfId="9" priority="21" stopIfTrue="1" operator="between">
      <formula>0</formula>
      <formula>39</formula>
    </cfRule>
    <cfRule type="cellIs" dxfId="8" priority="22" stopIfTrue="1" operator="between">
      <formula>39</formula>
      <formula>4999999</formula>
    </cfRule>
    <cfRule type="cellIs" dxfId="7" priority="23" stopIfTrue="1" operator="between">
      <formula>50</formula>
      <formula>74.999</formula>
    </cfRule>
    <cfRule type="cellIs" dxfId="6" priority="24" stopIfTrue="1" operator="greaterThanOrEqual">
      <formula>75</formula>
    </cfRule>
  </conditionalFormatting>
  <conditionalFormatting sqref="W67">
    <cfRule type="cellIs" dxfId="5" priority="7" stopIfTrue="1" operator="between">
      <formula>50</formula>
      <formula>74</formula>
    </cfRule>
    <cfRule type="cellIs" dxfId="4" priority="8" stopIfTrue="1" operator="between">
      <formula>75</formula>
      <formula>200</formula>
    </cfRule>
    <cfRule type="cellIs" dxfId="3" priority="9" stopIfTrue="1" operator="between">
      <formula>0</formula>
      <formula>39</formula>
    </cfRule>
    <cfRule type="cellIs" dxfId="2" priority="10" stopIfTrue="1" operator="between">
      <formula>39</formula>
      <formula>4999999</formula>
    </cfRule>
    <cfRule type="cellIs" dxfId="1" priority="11" stopIfTrue="1" operator="between">
      <formula>50</formula>
      <formula>74.999</formula>
    </cfRule>
    <cfRule type="cellIs" dxfId="0" priority="12" stopIfTrue="1" operator="greaterThanOrEqual">
      <formula>75</formula>
    </cfRule>
  </conditionalFormatting>
  <pageMargins left="0.7" right="0.7" top="0.75" bottom="0.75" header="0.3" footer="0.3"/>
  <pageSetup scale="44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TABLAS VALORACION </vt:lpstr>
      <vt:lpstr>UT-GI-F09</vt:lpstr>
    </vt:vector>
  </TitlesOfParts>
  <Company>AES GESTIOM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MATRIZ AIA</dc:title>
  <dc:creator>AES GESTIOM</dc:creator>
  <cp:lastModifiedBy>acer</cp:lastModifiedBy>
  <cp:lastPrinted>2012-11-16T13:29:02Z</cp:lastPrinted>
  <dcterms:created xsi:type="dcterms:W3CDTF">2011-11-06T21:20:02Z</dcterms:created>
  <dcterms:modified xsi:type="dcterms:W3CDTF">2020-03-06T14:09:26Z</dcterms:modified>
</cp:coreProperties>
</file>