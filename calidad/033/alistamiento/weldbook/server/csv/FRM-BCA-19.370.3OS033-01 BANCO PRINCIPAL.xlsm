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UorME-Ba7sX-n9-jwm2ERW9URRnuswoZ\3. Calidad Caldera B2405\2. Ejecución\3. Cuadros de control\"/>
    </mc:Choice>
  </mc:AlternateContent>
  <xr:revisionPtr revIDLastSave="0" documentId="13_ncr:1_{7E90EF59-420A-45AA-B4EC-D7B7495FCADD}" xr6:coauthVersionLast="47" xr6:coauthVersionMax="47" xr10:uidLastSave="{00000000-0000-0000-0000-000000000000}"/>
  <bookViews>
    <workbookView xWindow="-120" yWindow="-120" windowWidth="20730" windowHeight="11160" tabRatio="836" xr2:uid="{0802BD50-779F-449B-8C0B-18E64D5A392E}"/>
  </bookViews>
  <sheets>
    <sheet name="FRM-BCA-19.370.3.OS032-01 CC BA" sheetId="1" r:id="rId1"/>
    <sheet name="T.VAPOR" sheetId="2" r:id="rId2"/>
    <sheet name="T.LODOS" sheetId="12" r:id="rId3"/>
    <sheet name="Calibracion orificios" sheetId="11" r:id="rId4"/>
  </sheets>
  <functionGroups builtInGroupCount="19"/>
  <definedNames>
    <definedName name="_xlnm.Print_Titles" localSheetId="0">'FRM-BCA-19.370.3.OS032-01 CC BA'!$1:$6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" l="1"/>
  <c r="I55" i="1"/>
  <c r="U28" i="2"/>
  <c r="U28" i="12"/>
  <c r="L8" i="1" l="1"/>
  <c r="J11" i="1"/>
  <c r="J12" i="1"/>
  <c r="J13" i="1"/>
  <c r="J14" i="1"/>
  <c r="J15" i="1"/>
  <c r="J16" i="1"/>
  <c r="J17" i="1"/>
  <c r="J18" i="1"/>
  <c r="L19" i="1"/>
  <c r="L9" i="1"/>
  <c r="K19" i="1"/>
  <c r="K9" i="1"/>
  <c r="J28" i="1"/>
  <c r="J27" i="1"/>
  <c r="J26" i="1"/>
  <c r="J25" i="1"/>
  <c r="J24" i="1"/>
  <c r="J23" i="1"/>
  <c r="J22" i="1"/>
  <c r="J21" i="1"/>
  <c r="K7" i="1"/>
  <c r="U27" i="12"/>
  <c r="U27" i="2"/>
  <c r="U29" i="12"/>
  <c r="U29" i="2"/>
  <c r="U30" i="12"/>
  <c r="U30" i="2"/>
  <c r="J66" i="1" l="1"/>
  <c r="J75" i="1" s="1"/>
  <c r="J44" i="1"/>
  <c r="J55" i="1" s="1"/>
  <c r="L7" i="1"/>
  <c r="K8" i="1"/>
  <c r="L77" i="1"/>
  <c r="L78" i="1"/>
  <c r="L79" i="1"/>
  <c r="L80" i="1"/>
  <c r="L81" i="1"/>
  <c r="L82" i="1"/>
  <c r="L83" i="1"/>
  <c r="L84" i="1"/>
  <c r="L76" i="1"/>
  <c r="K75" i="1" l="1"/>
  <c r="L75" i="1"/>
  <c r="L55" i="1"/>
  <c r="K55" i="1"/>
  <c r="K66" i="1"/>
  <c r="L66" i="1"/>
  <c r="K44" i="1"/>
  <c r="L44" i="1"/>
  <c r="J29" i="1"/>
  <c r="L29" i="1" l="1"/>
  <c r="K29" i="1"/>
</calcChain>
</file>

<file path=xl/sharedStrings.xml><?xml version="1.0" encoding="utf-8"?>
<sst xmlns="http://schemas.openxmlformats.org/spreadsheetml/2006/main" count="3089" uniqueCount="93">
  <si>
    <t>Versión: 0</t>
  </si>
  <si>
    <t>Contrato: 3023605 Mantenimiento con parada de planta y en operación de las unidades de la Refinería de Barrancabermeja.</t>
  </si>
  <si>
    <t xml:space="preserve">ACTIVIDADES DE SEGUIMIENTO Y CONTROL </t>
  </si>
  <si>
    <t xml:space="preserve">ITEM </t>
  </si>
  <si>
    <t>ACTIVIDADES PRELIMINARES</t>
  </si>
  <si>
    <t>TOTAL PLANEADO</t>
  </si>
  <si>
    <t>FECHA</t>
  </si>
  <si>
    <t>PENDIENTE</t>
  </si>
  <si>
    <t>OBSERVACIONES</t>
  </si>
  <si>
    <t>*** FIN DEL DOCUMENTO ***</t>
  </si>
  <si>
    <t>B2</t>
  </si>
  <si>
    <t>B3</t>
  </si>
  <si>
    <t>B18L</t>
  </si>
  <si>
    <t>B4</t>
  </si>
  <si>
    <t>B18R</t>
  </si>
  <si>
    <t>B19L</t>
  </si>
  <si>
    <t>B5</t>
  </si>
  <si>
    <t>B19R</t>
  </si>
  <si>
    <t>B20L</t>
  </si>
  <si>
    <t>B6</t>
  </si>
  <si>
    <t>B20R</t>
  </si>
  <si>
    <t>B21L</t>
  </si>
  <si>
    <t>B7</t>
  </si>
  <si>
    <t>B21R</t>
  </si>
  <si>
    <t>B22L</t>
  </si>
  <si>
    <t>B8</t>
  </si>
  <si>
    <t>B22R</t>
  </si>
  <si>
    <t>B23L</t>
  </si>
  <si>
    <t>B9</t>
  </si>
  <si>
    <t>B23R</t>
  </si>
  <si>
    <t>B24L</t>
  </si>
  <si>
    <t>B10</t>
  </si>
  <si>
    <t>B24R</t>
  </si>
  <si>
    <t>B25L</t>
  </si>
  <si>
    <t>B11</t>
  </si>
  <si>
    <t>B25R</t>
  </si>
  <si>
    <t>B26L</t>
  </si>
  <si>
    <t>B12</t>
  </si>
  <si>
    <t>B26R</t>
  </si>
  <si>
    <t>B27L</t>
  </si>
  <si>
    <t>B13</t>
  </si>
  <si>
    <t>B27R</t>
  </si>
  <si>
    <t>B28L</t>
  </si>
  <si>
    <t>B14</t>
  </si>
  <si>
    <t>B28R</t>
  </si>
  <si>
    <t>B29L</t>
  </si>
  <si>
    <t>B15</t>
  </si>
  <si>
    <t>B29R</t>
  </si>
  <si>
    <t>B30L</t>
  </si>
  <si>
    <t>B30R</t>
  </si>
  <si>
    <t>B31L</t>
  </si>
  <si>
    <t>ABANICOS</t>
  </si>
  <si>
    <t>B31R</t>
  </si>
  <si>
    <t>B32L</t>
  </si>
  <si>
    <t>B32R</t>
  </si>
  <si>
    <t>B33L</t>
  </si>
  <si>
    <t>B33R</t>
  </si>
  <si>
    <t xml:space="preserve">INSTALACIÓN DE TUBERIA </t>
  </si>
  <si>
    <t>O</t>
  </si>
  <si>
    <t>CUADRO DE CONTROL PARA  MONTAJE DE TUBERIA DE BANCO PRINCIPAL</t>
  </si>
  <si>
    <t xml:space="preserve">LIMPIEZA Y CORTE DE PUNTAS DE TUBERIA </t>
  </si>
  <si>
    <t>CALIBRACIÓN ORIFICIOS TAMBOR LODOS</t>
  </si>
  <si>
    <t>CALIBRACIÓN ORIFICIOS TAMBOR VAPOR</t>
  </si>
  <si>
    <t xml:space="preserve">MATRIZADO </t>
  </si>
  <si>
    <t>CALIBRACIÓN TUBERIA EXPANDIDA TAMBOR DE VAPOR</t>
  </si>
  <si>
    <t>CALIBRACIÓN TUBERIA EXPANDIDA TAMBOR DE LODOS</t>
  </si>
  <si>
    <t>ESQUEMA CALIBRACIÓN ORIFICIOS BANCO PRINCIPAL DEL TAMBOR DE LODOS CALDERA B-2405</t>
  </si>
  <si>
    <t>B1L</t>
  </si>
  <si>
    <t>B1R</t>
  </si>
  <si>
    <t>B16</t>
  </si>
  <si>
    <t>B17</t>
  </si>
  <si>
    <t>B34L</t>
  </si>
  <si>
    <t>B35L</t>
  </si>
  <si>
    <t>B34R</t>
  </si>
  <si>
    <t>B35R</t>
  </si>
  <si>
    <t>LADO NORTE</t>
  </si>
  <si>
    <t>LADO SUR</t>
  </si>
  <si>
    <t>OK</t>
  </si>
  <si>
    <t>EJECUTADO DIARIO</t>
  </si>
  <si>
    <t>TOTAL ACUMULADO</t>
  </si>
  <si>
    <t>INSTALACION DE TUBERÍA</t>
  </si>
  <si>
    <t>ACTIVIDAD</t>
  </si>
  <si>
    <t>CANTIDAD</t>
  </si>
  <si>
    <t>EXPANDIDO AL 8%</t>
  </si>
  <si>
    <t>CALIBRACIÓN FINAL</t>
  </si>
  <si>
    <t>EXPANDIDO AL 4%</t>
  </si>
  <si>
    <t>% AVANCE</t>
  </si>
  <si>
    <t>FRM-BCA-19.370.3.OS033-01</t>
  </si>
  <si>
    <t>EXPANDIDO DE TUBERIA TAMBOR DE LODOS 4%</t>
  </si>
  <si>
    <t>EXPANDIDO DE TUBERIA TAMBOR DE VAPOR 4%</t>
  </si>
  <si>
    <t>A+B+C</t>
  </si>
  <si>
    <t>ESQUEMA INSTALACIÓN TUBERÍA BANCO PRINCIPAL TAMBOR LODOS SB-2405</t>
  </si>
  <si>
    <t>ESQUEMA INSTALACIÓN TUBERÍA BANCO PRINCIPAL TAMBOR VAPOR SB-2405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</si>
</sst>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4"/>
      <name val="Arial"/>
      <family val="2"/>
    </font>
    <font>
      <sz val="11"/>
      <name val="Arial"/>
      <family val="2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name val="Verdana"/>
      <family val="2"/>
    </font>
    <font>
      <b/>
      <sz val="18"/>
      <name val="Verdana"/>
      <family val="2"/>
    </font>
    <font>
      <b/>
      <sz val="14"/>
      <color theme="0" tint="-0.249977111117893"/>
      <name val="Arial"/>
      <family val="2"/>
    </font>
    <font>
      <sz val="14"/>
      <color theme="1"/>
      <name val="Calibri"/>
      <family val="2"/>
      <scheme val="minor"/>
    </font>
    <font>
      <sz val="14"/>
      <name val="Verdana"/>
      <family val="2"/>
    </font>
    <font>
      <sz val="18"/>
      <name val="Verdana"/>
      <family val="2"/>
    </font>
    <font>
      <sz val="12"/>
      <name val="Arial"/>
      <family val="2"/>
    </font>
    <font>
      <sz val="11"/>
      <name val="Verdana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28"/>
      <name val="Arial"/>
      <family val="2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36"/>
      <name val="Arial"/>
      <family val="2"/>
    </font>
    <font>
      <b/>
      <sz val="18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22"/>
      </left>
      <right style="dotted">
        <color indexed="22"/>
      </right>
      <top style="dotted">
        <color indexed="22"/>
      </top>
      <bottom/>
      <diagonal/>
    </border>
    <border>
      <left style="dotted">
        <color indexed="22"/>
      </left>
      <right/>
      <top style="dotted">
        <color indexed="22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tted">
        <color indexed="22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192">
    <xf numFmtId="0" fontId="0" fillId="0" borderId="0" xfId="0"/>
    <xf numFmtId="0" fontId="2" fillId="0" borderId="0" xfId="1"/>
    <xf numFmtId="0" fontId="4" fillId="0" borderId="0" xfId="1" applyFont="1" applyAlignment="1">
      <alignment vertical="center" textRotation="90"/>
    </xf>
    <xf numFmtId="0" fontId="7" fillId="3" borderId="7" xfId="1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 wrapText="1"/>
    </xf>
    <xf numFmtId="0" fontId="7" fillId="3" borderId="1" xfId="1" applyFont="1" applyFill="1" applyBorder="1" applyAlignment="1">
      <alignment horizontal="center" vertical="center"/>
    </xf>
    <xf numFmtId="0" fontId="1" fillId="0" borderId="0" xfId="2" applyAlignment="1">
      <alignment vertical="center"/>
    </xf>
    <xf numFmtId="0" fontId="4" fillId="0" borderId="0" xfId="1" applyFont="1"/>
    <xf numFmtId="0" fontId="8" fillId="0" borderId="0" xfId="1" applyFont="1" applyAlignment="1">
      <alignment vertical="center" textRotation="90"/>
    </xf>
    <xf numFmtId="0" fontId="9" fillId="4" borderId="7" xfId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4" fontId="6" fillId="2" borderId="1" xfId="1" applyNumberFormat="1" applyFont="1" applyFill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8" fillId="0" borderId="0" xfId="1" applyFont="1"/>
    <xf numFmtId="0" fontId="12" fillId="2" borderId="9" xfId="1" applyFont="1" applyFill="1" applyBorder="1" applyAlignment="1">
      <alignment horizontal="center" vertical="center"/>
    </xf>
    <xf numFmtId="0" fontId="12" fillId="2" borderId="12" xfId="1" applyFont="1" applyFill="1" applyBorder="1" applyAlignment="1">
      <alignment horizontal="center" vertical="center"/>
    </xf>
    <xf numFmtId="0" fontId="2" fillId="0" borderId="0" xfId="1" applyAlignment="1">
      <alignment vertical="center" textRotation="90"/>
    </xf>
    <xf numFmtId="0" fontId="12" fillId="2" borderId="1" xfId="1" applyFont="1" applyFill="1" applyBorder="1" applyAlignment="1">
      <alignment horizontal="center" vertical="center"/>
    </xf>
    <xf numFmtId="0" fontId="15" fillId="2" borderId="1" xfId="1" applyFont="1" applyFill="1" applyBorder="1" applyAlignment="1">
      <alignment vertical="center"/>
    </xf>
    <xf numFmtId="0" fontId="17" fillId="2" borderId="1" xfId="1" applyFont="1" applyFill="1" applyBorder="1" applyAlignment="1">
      <alignment vertical="center"/>
    </xf>
    <xf numFmtId="0" fontId="17" fillId="2" borderId="9" xfId="1" applyFont="1" applyFill="1" applyBorder="1" applyAlignment="1">
      <alignment horizontal="center" vertical="center"/>
    </xf>
    <xf numFmtId="0" fontId="17" fillId="2" borderId="10" xfId="1" applyFont="1" applyFill="1" applyBorder="1" applyAlignment="1">
      <alignment horizontal="center" vertical="center"/>
    </xf>
    <xf numFmtId="0" fontId="17" fillId="2" borderId="11" xfId="1" applyFont="1" applyFill="1" applyBorder="1" applyAlignment="1">
      <alignment horizontal="center" vertical="center"/>
    </xf>
    <xf numFmtId="0" fontId="12" fillId="2" borderId="1" xfId="1" applyFont="1" applyFill="1" applyBorder="1" applyAlignment="1">
      <alignment vertical="center"/>
    </xf>
    <xf numFmtId="0" fontId="14" fillId="2" borderId="9" xfId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 wrapText="1"/>
    </xf>
    <xf numFmtId="0" fontId="14" fillId="2" borderId="11" xfId="1" applyFont="1" applyFill="1" applyBorder="1" applyAlignment="1">
      <alignment horizontal="center" vertical="center" wrapText="1"/>
    </xf>
    <xf numFmtId="0" fontId="10" fillId="2" borderId="9" xfId="1" applyFont="1" applyFill="1" applyBorder="1" applyAlignment="1">
      <alignment horizontal="left" vertical="center"/>
    </xf>
    <xf numFmtId="0" fontId="10" fillId="2" borderId="10" xfId="1" applyFont="1" applyFill="1" applyBorder="1" applyAlignment="1">
      <alignment horizontal="left" vertical="center"/>
    </xf>
    <xf numFmtId="0" fontId="10" fillId="2" borderId="11" xfId="1" applyFont="1" applyFill="1" applyBorder="1" applyAlignment="1">
      <alignment horizontal="left" vertical="center"/>
    </xf>
    <xf numFmtId="0" fontId="10" fillId="2" borderId="9" xfId="1" applyFont="1" applyFill="1" applyBorder="1" applyAlignment="1">
      <alignment horizontal="left" vertical="center" wrapText="1"/>
    </xf>
    <xf numFmtId="0" fontId="10" fillId="2" borderId="10" xfId="1" applyFont="1" applyFill="1" applyBorder="1" applyAlignment="1">
      <alignment horizontal="left" vertical="center" wrapText="1"/>
    </xf>
    <xf numFmtId="0" fontId="10" fillId="2" borderId="11" xfId="1" applyFont="1" applyFill="1" applyBorder="1" applyAlignment="1">
      <alignment horizontal="left" vertical="center" wrapText="1"/>
    </xf>
    <xf numFmtId="0" fontId="20" fillId="0" borderId="14" xfId="1" applyFont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/>
    <xf numFmtId="0" fontId="7" fillId="0" borderId="16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7" fillId="0" borderId="17" xfId="1" applyFont="1" applyBorder="1"/>
    <xf numFmtId="0" fontId="21" fillId="0" borderId="16" xfId="1" applyFont="1" applyBorder="1" applyAlignment="1">
      <alignment horizontal="center"/>
    </xf>
    <xf numFmtId="0" fontId="21" fillId="0" borderId="0" xfId="1" applyFont="1" applyAlignment="1">
      <alignment horizontal="center"/>
    </xf>
    <xf numFmtId="0" fontId="21" fillId="0" borderId="17" xfId="1" applyFont="1" applyBorder="1" applyAlignment="1">
      <alignment horizontal="center"/>
    </xf>
    <xf numFmtId="0" fontId="22" fillId="0" borderId="16" xfId="1" applyFont="1" applyBorder="1" applyAlignment="1">
      <alignment horizontal="center"/>
    </xf>
    <xf numFmtId="0" fontId="22" fillId="0" borderId="0" xfId="1" applyFont="1" applyAlignment="1">
      <alignment horizontal="center"/>
    </xf>
    <xf numFmtId="0" fontId="22" fillId="0" borderId="17" xfId="1" applyFont="1" applyBorder="1" applyAlignment="1">
      <alignment horizontal="center"/>
    </xf>
    <xf numFmtId="0" fontId="9" fillId="0" borderId="0" xfId="1" applyFont="1"/>
    <xf numFmtId="0" fontId="7" fillId="4" borderId="1" xfId="1" applyFont="1" applyFill="1" applyBorder="1" applyAlignment="1">
      <alignment horizontal="center" vertical="center"/>
    </xf>
    <xf numFmtId="0" fontId="24" fillId="0" borderId="21" xfId="1" applyFont="1" applyBorder="1" applyAlignment="1">
      <alignment horizontal="center" vertical="center"/>
    </xf>
    <xf numFmtId="0" fontId="7" fillId="4" borderId="9" xfId="1" applyFont="1" applyFill="1" applyBorder="1" applyAlignment="1">
      <alignment horizontal="center" vertical="center"/>
    </xf>
    <xf numFmtId="0" fontId="24" fillId="0" borderId="22" xfId="1" applyFont="1" applyBorder="1" applyAlignment="1">
      <alignment horizontal="center" vertical="center"/>
    </xf>
    <xf numFmtId="0" fontId="8" fillId="0" borderId="0" xfId="1" applyFont="1" applyAlignment="1">
      <alignment horizontal="right"/>
    </xf>
    <xf numFmtId="0" fontId="22" fillId="4" borderId="23" xfId="1" applyFont="1" applyFill="1" applyBorder="1" applyAlignment="1">
      <alignment horizontal="center" vertical="center"/>
    </xf>
    <xf numFmtId="0" fontId="2" fillId="0" borderId="17" xfId="1" applyBorder="1"/>
    <xf numFmtId="0" fontId="1" fillId="0" borderId="17" xfId="3" applyBorder="1"/>
    <xf numFmtId="0" fontId="1" fillId="0" borderId="6" xfId="3" applyBorder="1"/>
    <xf numFmtId="0" fontId="13" fillId="0" borderId="6" xfId="3" applyFont="1" applyBorder="1"/>
    <xf numFmtId="0" fontId="26" fillId="0" borderId="6" xfId="3" applyFont="1" applyBorder="1"/>
    <xf numFmtId="0" fontId="27" fillId="0" borderId="6" xfId="3" applyFont="1" applyBorder="1"/>
    <xf numFmtId="0" fontId="2" fillId="0" borderId="24" xfId="1" applyBorder="1"/>
    <xf numFmtId="0" fontId="1" fillId="0" borderId="0" xfId="3"/>
    <xf numFmtId="0" fontId="13" fillId="0" borderId="0" xfId="3" applyFont="1"/>
    <xf numFmtId="0" fontId="26" fillId="0" borderId="0" xfId="3" applyFont="1"/>
    <xf numFmtId="0" fontId="27" fillId="0" borderId="0" xfId="3" applyFont="1"/>
    <xf numFmtId="0" fontId="18" fillId="0" borderId="16" xfId="1" applyFont="1" applyBorder="1" applyAlignment="1">
      <alignment vertical="center" wrapText="1"/>
    </xf>
    <xf numFmtId="0" fontId="10" fillId="2" borderId="0" xfId="1" applyFont="1" applyFill="1" applyAlignment="1">
      <alignment horizontal="left" vertical="center" wrapText="1"/>
    </xf>
    <xf numFmtId="0" fontId="17" fillId="2" borderId="0" xfId="1" applyFont="1" applyFill="1" applyAlignment="1">
      <alignment vertical="center"/>
    </xf>
    <xf numFmtId="0" fontId="12" fillId="2" borderId="0" xfId="1" applyFont="1" applyFill="1" applyAlignment="1">
      <alignment horizontal="center" vertical="center"/>
    </xf>
    <xf numFmtId="0" fontId="12" fillId="2" borderId="0" xfId="1" applyFont="1" applyFill="1" applyAlignment="1">
      <alignment vertical="center"/>
    </xf>
    <xf numFmtId="0" fontId="12" fillId="2" borderId="17" xfId="1" applyFont="1" applyFill="1" applyBorder="1" applyAlignment="1">
      <alignment horizontal="center" vertical="center"/>
    </xf>
    <xf numFmtId="0" fontId="2" fillId="0" borderId="26" xfId="1" applyBorder="1"/>
    <xf numFmtId="0" fontId="2" fillId="0" borderId="6" xfId="1" applyBorder="1"/>
    <xf numFmtId="0" fontId="7" fillId="4" borderId="2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4" borderId="10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/>
    </xf>
    <xf numFmtId="0" fontId="22" fillId="4" borderId="28" xfId="1" applyFont="1" applyFill="1" applyBorder="1" applyAlignment="1">
      <alignment horizontal="center" vertical="center"/>
    </xf>
    <xf numFmtId="0" fontId="22" fillId="4" borderId="29" xfId="1" applyFont="1" applyFill="1" applyBorder="1" applyAlignment="1">
      <alignment horizontal="center" vertical="center"/>
    </xf>
    <xf numFmtId="0" fontId="22" fillId="5" borderId="29" xfId="1" applyFont="1" applyFill="1" applyBorder="1" applyAlignment="1">
      <alignment horizontal="center" vertical="center"/>
    </xf>
    <xf numFmtId="0" fontId="22" fillId="4" borderId="30" xfId="1" applyFont="1" applyFill="1" applyBorder="1" applyAlignment="1">
      <alignment horizontal="center" vertical="center"/>
    </xf>
    <xf numFmtId="0" fontId="22" fillId="4" borderId="31" xfId="1" applyFont="1" applyFill="1" applyBorder="1" applyAlignment="1">
      <alignment horizontal="center" vertical="center"/>
    </xf>
    <xf numFmtId="0" fontId="22" fillId="4" borderId="32" xfId="1" applyFont="1" applyFill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34" xfId="1" applyFont="1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40" xfId="1" applyFont="1" applyBorder="1" applyAlignment="1">
      <alignment horizontal="center" vertical="center"/>
    </xf>
    <xf numFmtId="0" fontId="9" fillId="0" borderId="41" xfId="1" applyFont="1" applyBorder="1" applyAlignment="1">
      <alignment horizontal="center" vertical="center"/>
    </xf>
    <xf numFmtId="0" fontId="16" fillId="0" borderId="21" xfId="1" applyFont="1" applyBorder="1" applyAlignment="1">
      <alignment horizontal="center" vertical="center"/>
    </xf>
    <xf numFmtId="0" fontId="16" fillId="0" borderId="22" xfId="1" applyFont="1" applyBorder="1" applyAlignment="1">
      <alignment horizontal="center" vertical="center"/>
    </xf>
    <xf numFmtId="0" fontId="16" fillId="0" borderId="34" xfId="1" applyFont="1" applyBorder="1" applyAlignment="1">
      <alignment horizontal="center" vertical="center"/>
    </xf>
    <xf numFmtId="0" fontId="16" fillId="0" borderId="35" xfId="1" applyFont="1" applyBorder="1" applyAlignment="1">
      <alignment horizontal="center" vertical="center"/>
    </xf>
    <xf numFmtId="0" fontId="16" fillId="0" borderId="36" xfId="1" applyFont="1" applyBorder="1" applyAlignment="1">
      <alignment horizontal="center" vertical="center"/>
    </xf>
    <xf numFmtId="0" fontId="16" fillId="0" borderId="37" xfId="1" applyFont="1" applyBorder="1" applyAlignment="1">
      <alignment horizontal="center" vertical="center"/>
    </xf>
    <xf numFmtId="0" fontId="16" fillId="0" borderId="33" xfId="1" applyFont="1" applyBorder="1" applyAlignment="1">
      <alignment horizontal="center" vertical="center"/>
    </xf>
    <xf numFmtId="0" fontId="16" fillId="0" borderId="38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16" fillId="0" borderId="41" xfId="1" applyFont="1" applyBorder="1" applyAlignment="1">
      <alignment horizontal="center" vertical="center"/>
    </xf>
    <xf numFmtId="0" fontId="16" fillId="2" borderId="0" xfId="1" applyFont="1" applyFill="1" applyAlignment="1">
      <alignment horizontal="center" vertical="center"/>
    </xf>
    <xf numFmtId="0" fontId="16" fillId="0" borderId="27" xfId="1" applyFont="1" applyBorder="1" applyAlignment="1">
      <alignment horizontal="center" vertical="center"/>
    </xf>
    <xf numFmtId="9" fontId="6" fillId="2" borderId="1" xfId="4" applyFont="1" applyFill="1" applyBorder="1" applyAlignment="1">
      <alignment horizontal="center" vertical="center"/>
    </xf>
    <xf numFmtId="9" fontId="12" fillId="2" borderId="1" xfId="4" applyFont="1" applyFill="1" applyBorder="1" applyAlignment="1">
      <alignment horizontal="center" vertical="center"/>
    </xf>
    <xf numFmtId="0" fontId="9" fillId="6" borderId="33" xfId="1" applyFont="1" applyFill="1" applyBorder="1" applyAlignment="1">
      <alignment horizontal="center" vertical="center"/>
    </xf>
    <xf numFmtId="0" fontId="24" fillId="2" borderId="0" xfId="1" applyFont="1" applyFill="1" applyAlignment="1">
      <alignment horizontal="center" vertical="center"/>
    </xf>
    <xf numFmtId="0" fontId="1" fillId="0" borderId="26" xfId="3" applyBorder="1"/>
    <xf numFmtId="0" fontId="7" fillId="4" borderId="42" xfId="1" applyFont="1" applyFill="1" applyBorder="1" applyAlignment="1">
      <alignment horizontal="center" vertical="center"/>
    </xf>
    <xf numFmtId="0" fontId="1" fillId="0" borderId="16" xfId="3" applyBorder="1"/>
    <xf numFmtId="0" fontId="1" fillId="0" borderId="24" xfId="3" applyBorder="1"/>
    <xf numFmtId="0" fontId="28" fillId="0" borderId="0" xfId="3" applyFont="1"/>
    <xf numFmtId="0" fontId="9" fillId="8" borderId="33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30" fillId="2" borderId="1" xfId="1" applyFont="1" applyFill="1" applyBorder="1" applyAlignment="1">
      <alignment horizontal="center" vertical="center"/>
    </xf>
    <xf numFmtId="0" fontId="9" fillId="6" borderId="37" xfId="1" applyFont="1" applyFill="1" applyBorder="1" applyAlignment="1">
      <alignment horizontal="center" vertical="center"/>
    </xf>
    <xf numFmtId="0" fontId="9" fillId="6" borderId="40" xfId="1" applyFont="1" applyFill="1" applyBorder="1" applyAlignment="1">
      <alignment horizontal="center" vertical="center"/>
    </xf>
    <xf numFmtId="0" fontId="9" fillId="6" borderId="38" xfId="1" applyFont="1" applyFill="1" applyBorder="1" applyAlignment="1">
      <alignment horizontal="center" vertical="center"/>
    </xf>
    <xf numFmtId="0" fontId="9" fillId="8" borderId="37" xfId="1" applyFont="1" applyFill="1" applyBorder="1" applyAlignment="1">
      <alignment horizontal="center" vertical="center"/>
    </xf>
    <xf numFmtId="0" fontId="9" fillId="8" borderId="38" xfId="1" applyFont="1" applyFill="1" applyBorder="1" applyAlignment="1">
      <alignment horizontal="center" vertical="center"/>
    </xf>
    <xf numFmtId="0" fontId="32" fillId="6" borderId="0" xfId="3" applyFont="1" applyFill="1" applyAlignment="1">
      <alignment horizontal="left" vertical="center"/>
    </xf>
    <xf numFmtId="0" fontId="33" fillId="6" borderId="0" xfId="3" applyFont="1" applyFill="1"/>
    <xf numFmtId="0" fontId="34" fillId="6" borderId="33" xfId="1" applyFont="1" applyFill="1" applyBorder="1" applyAlignment="1">
      <alignment horizontal="center" vertical="center"/>
    </xf>
    <xf numFmtId="0" fontId="32" fillId="8" borderId="0" xfId="3" applyFont="1" applyFill="1" applyAlignment="1">
      <alignment vertical="center"/>
    </xf>
    <xf numFmtId="0" fontId="32" fillId="8" borderId="0" xfId="3" applyFont="1" applyFill="1"/>
    <xf numFmtId="0" fontId="34" fillId="8" borderId="33" xfId="1" applyFont="1" applyFill="1" applyBorder="1" applyAlignment="1">
      <alignment horizontal="center" vertical="center"/>
    </xf>
    <xf numFmtId="0" fontId="32" fillId="9" borderId="0" xfId="3" applyFont="1" applyFill="1" applyAlignment="1">
      <alignment vertical="center"/>
    </xf>
    <xf numFmtId="0" fontId="32" fillId="9" borderId="0" xfId="3" applyFont="1" applyFill="1"/>
    <xf numFmtId="0" fontId="34" fillId="9" borderId="33" xfId="1" applyFont="1" applyFill="1" applyBorder="1" applyAlignment="1">
      <alignment horizontal="center" vertical="center"/>
    </xf>
    <xf numFmtId="0" fontId="32" fillId="7" borderId="0" xfId="3" applyFont="1" applyFill="1" applyAlignment="1">
      <alignment vertical="center"/>
    </xf>
    <xf numFmtId="0" fontId="32" fillId="7" borderId="0" xfId="3" applyFont="1" applyFill="1"/>
    <xf numFmtId="0" fontId="34" fillId="7" borderId="33" xfId="1" applyFont="1" applyFill="1" applyBorder="1" applyAlignment="1">
      <alignment horizontal="center" vertical="center"/>
    </xf>
    <xf numFmtId="0" fontId="19" fillId="0" borderId="16" xfId="1" applyFont="1" applyBorder="1" applyAlignment="1">
      <alignment horizontal="center" vertical="center" wrapText="1"/>
    </xf>
    <xf numFmtId="0" fontId="19" fillId="0" borderId="0" xfId="1" applyFont="1" applyAlignment="1">
      <alignment horizontal="center" vertical="center" wrapText="1"/>
    </xf>
    <xf numFmtId="0" fontId="19" fillId="0" borderId="17" xfId="1" applyFont="1" applyBorder="1" applyAlignment="1">
      <alignment horizontal="center" vertical="center" wrapText="1"/>
    </xf>
    <xf numFmtId="0" fontId="10" fillId="2" borderId="9" xfId="1" applyFont="1" applyFill="1" applyBorder="1" applyAlignment="1">
      <alignment horizontal="left" vertical="center"/>
    </xf>
    <xf numFmtId="0" fontId="10" fillId="2" borderId="10" xfId="1" applyFont="1" applyFill="1" applyBorder="1" applyAlignment="1">
      <alignment horizontal="left" vertical="center"/>
    </xf>
    <xf numFmtId="0" fontId="10" fillId="2" borderId="11" xfId="1" applyFont="1" applyFill="1" applyBorder="1" applyAlignment="1">
      <alignment horizontal="left" vertical="center"/>
    </xf>
    <xf numFmtId="0" fontId="31" fillId="2" borderId="9" xfId="1" applyFont="1" applyFill="1" applyBorder="1" applyAlignment="1">
      <alignment horizontal="center" vertical="center"/>
    </xf>
    <xf numFmtId="0" fontId="31" fillId="2" borderId="12" xfId="1" applyFont="1" applyFill="1" applyBorder="1" applyAlignment="1">
      <alignment horizontal="center" vertical="center"/>
    </xf>
    <xf numFmtId="0" fontId="17" fillId="2" borderId="9" xfId="1" applyFont="1" applyFill="1" applyBorder="1" applyAlignment="1">
      <alignment horizontal="center" vertical="center"/>
    </xf>
    <xf numFmtId="0" fontId="17" fillId="2" borderId="10" xfId="1" applyFont="1" applyFill="1" applyBorder="1" applyAlignment="1">
      <alignment horizontal="center" vertical="center"/>
    </xf>
    <xf numFmtId="0" fontId="17" fillId="2" borderId="11" xfId="1" applyFont="1" applyFill="1" applyBorder="1" applyAlignment="1">
      <alignment horizontal="center" vertical="center"/>
    </xf>
    <xf numFmtId="0" fontId="12" fillId="2" borderId="9" xfId="1" applyFont="1" applyFill="1" applyBorder="1" applyAlignment="1">
      <alignment horizontal="center" vertical="center"/>
    </xf>
    <xf numFmtId="0" fontId="12" fillId="2" borderId="12" xfId="1" applyFont="1" applyFill="1" applyBorder="1" applyAlignment="1">
      <alignment horizontal="center" vertical="center"/>
    </xf>
    <xf numFmtId="0" fontId="10" fillId="2" borderId="9" xfId="1" applyFont="1" applyFill="1" applyBorder="1" applyAlignment="1">
      <alignment horizontal="left" vertical="center" wrapText="1"/>
    </xf>
    <xf numFmtId="0" fontId="10" fillId="2" borderId="10" xfId="1" applyFont="1" applyFill="1" applyBorder="1" applyAlignment="1">
      <alignment horizontal="left" vertical="center" wrapText="1"/>
    </xf>
    <xf numFmtId="0" fontId="10" fillId="2" borderId="11" xfId="1" applyFont="1" applyFill="1" applyBorder="1" applyAlignment="1">
      <alignment horizontal="left" vertical="center" wrapText="1"/>
    </xf>
    <xf numFmtId="0" fontId="14" fillId="2" borderId="9" xfId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 wrapText="1"/>
    </xf>
    <xf numFmtId="0" fontId="14" fillId="2" borderId="11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center" vertical="center" textRotation="90"/>
    </xf>
    <xf numFmtId="0" fontId="5" fillId="2" borderId="26" xfId="1" applyFont="1" applyFill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5" fillId="2" borderId="24" xfId="1" applyFont="1" applyFill="1" applyBorder="1" applyAlignment="1">
      <alignment horizontal="center" vertic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" xfId="1" applyBorder="1" applyAlignment="1">
      <alignment horizontal="center"/>
    </xf>
    <xf numFmtId="0" fontId="3" fillId="0" borderId="25" xfId="1" applyFont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6" fillId="3" borderId="8" xfId="1" applyFont="1" applyFill="1" applyBorder="1" applyAlignment="1">
      <alignment horizontal="center" vertical="center" wrapText="1"/>
    </xf>
    <xf numFmtId="0" fontId="7" fillId="3" borderId="9" xfId="1" applyFont="1" applyFill="1" applyBorder="1" applyAlignment="1">
      <alignment horizontal="center" vertical="center"/>
    </xf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3" borderId="12" xfId="1" applyFont="1" applyFill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29" fillId="0" borderId="13" xfId="1" applyFont="1" applyBorder="1" applyAlignment="1">
      <alignment horizontal="center"/>
    </xf>
    <xf numFmtId="0" fontId="29" fillId="0" borderId="14" xfId="1" applyFont="1" applyBorder="1" applyAlignment="1">
      <alignment horizontal="center"/>
    </xf>
    <xf numFmtId="0" fontId="22" fillId="0" borderId="0" xfId="1" applyFont="1" applyAlignment="1">
      <alignment horizontal="center"/>
    </xf>
    <xf numFmtId="0" fontId="23" fillId="0" borderId="16" xfId="1" applyFont="1" applyBorder="1" applyAlignment="1">
      <alignment horizontal="center" vertical="center" textRotation="90"/>
    </xf>
    <xf numFmtId="0" fontId="23" fillId="0" borderId="17" xfId="1" applyFont="1" applyBorder="1" applyAlignment="1">
      <alignment horizontal="center" vertical="center" textRotation="90"/>
    </xf>
    <xf numFmtId="0" fontId="25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 vertical="center"/>
    </xf>
    <xf numFmtId="0" fontId="22" fillId="0" borderId="17" xfId="1" applyFont="1" applyBorder="1" applyAlignment="1">
      <alignment horizontal="center"/>
    </xf>
    <xf numFmtId="0" fontId="22" fillId="0" borderId="16" xfId="1" applyFont="1" applyBorder="1" applyAlignment="1">
      <alignment horizontal="center"/>
    </xf>
    <xf numFmtId="0" fontId="20" fillId="0" borderId="13" xfId="1" applyFont="1" applyBorder="1" applyAlignment="1">
      <alignment horizontal="center"/>
    </xf>
    <xf numFmtId="0" fontId="20" fillId="0" borderId="14" xfId="1" applyFont="1" applyBorder="1" applyAlignment="1">
      <alignment horizontal="center"/>
    </xf>
  </cellXfs>
  <cellStyles count="5">
    <cellStyle name="Normal" xfId="0" builtinId="0"/>
    <cellStyle name="Normal 2 2" xfId="1" xr:uid="{5D3F679C-247D-4E6C-B5BF-5DA0A885F08F}"/>
    <cellStyle name="Normal 7 2" xfId="2" xr:uid="{FE85B41B-497B-4A71-832A-91D40EF205C7}"/>
    <cellStyle name="Normal 8" xfId="3" xr:uid="{78D52B11-6561-461D-85BF-6A7DDC21B9CD}"/>
    <cellStyle name="Porcentaje" xfId="4" builtinId="5"/>
  </cellStyles>
  <dxfs count="9">
    <dxf>
      <fill>
        <patternFill>
          <bgColor rgb="FFFFFF00"/>
        </patternFill>
      </fill>
    </dxf>
    <dxf>
      <fill>
        <patternFill>
          <bgColor rgb="FF07ED43"/>
        </patternFill>
      </fill>
    </dxf>
    <dxf>
      <fill>
        <patternFill>
          <bgColor rgb="FF07ED4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7ED43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326119</xdr:colOff>
      <xdr:row>0</xdr:row>
      <xdr:rowOff>166007</xdr:rowOff>
    </xdr:from>
    <xdr:to>
      <xdr:col>3</xdr:col>
      <xdr:colOff>1152979</xdr:colOff>
      <xdr:row>2</xdr:row>
      <xdr:rowOff>265160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CF2BE2-A371-4AA0-B280-B2CAD797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4569" y="166007"/>
          <a:ext cx="3246210" cy="10897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285749</xdr:colOff>
      <xdr:row>22</xdr:row>
      <xdr:rowOff>127000</xdr:rowOff>
    </xdr:from>
    <xdr:to>
      <xdr:col>64</xdr:col>
      <xdr:colOff>142874</xdr:colOff>
      <xdr:row>23</xdr:row>
      <xdr:rowOff>-1</xdr:rowOff>
    </xdr:to>
    <xdr:sp macro="" textlink="">
      <xdr:nvSpPr>
        <xdr:cNvPr id="4" name="Flecha: doblada hacia arriba 3">
          <a:extLst>
            <a:ext uri="{FF2B5EF4-FFF2-40B4-BE49-F238E27FC236}">
              <a16:creationId xmlns:a16="http://schemas.microsoft.com/office/drawing/2014/main" id="{0048B5C8-3278-4B2F-8A3C-D9F69A23B528}"/>
            </a:ext>
          </a:extLst>
        </xdr:cNvPr>
        <xdr:cNvSpPr/>
      </xdr:nvSpPr>
      <xdr:spPr>
        <a:xfrm>
          <a:off x="17554574" y="6813550"/>
          <a:ext cx="11944350" cy="215899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95249</xdr:colOff>
      <xdr:row>22</xdr:row>
      <xdr:rowOff>168275</xdr:rowOff>
    </xdr:from>
    <xdr:to>
      <xdr:col>32</xdr:col>
      <xdr:colOff>214311</xdr:colOff>
      <xdr:row>23</xdr:row>
      <xdr:rowOff>23812</xdr:rowOff>
    </xdr:to>
    <xdr:sp macro="" textlink="">
      <xdr:nvSpPr>
        <xdr:cNvPr id="5" name="Flecha: doblada hacia arriba 4">
          <a:extLst>
            <a:ext uri="{FF2B5EF4-FFF2-40B4-BE49-F238E27FC236}">
              <a16:creationId xmlns:a16="http://schemas.microsoft.com/office/drawing/2014/main" id="{DF92832F-840A-4630-B1D6-5EF5AB1DDFA4}"/>
            </a:ext>
          </a:extLst>
        </xdr:cNvPr>
        <xdr:cNvSpPr/>
      </xdr:nvSpPr>
      <xdr:spPr>
        <a:xfrm flipH="1">
          <a:off x="3038474" y="6854825"/>
          <a:ext cx="12206287" cy="198437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285749</xdr:colOff>
      <xdr:row>22</xdr:row>
      <xdr:rowOff>127000</xdr:rowOff>
    </xdr:from>
    <xdr:to>
      <xdr:col>64</xdr:col>
      <xdr:colOff>142874</xdr:colOff>
      <xdr:row>23</xdr:row>
      <xdr:rowOff>-1</xdr:rowOff>
    </xdr:to>
    <xdr:sp macro="" textlink="">
      <xdr:nvSpPr>
        <xdr:cNvPr id="2" name="Flecha: doblada hacia arriba 1">
          <a:extLst>
            <a:ext uri="{FF2B5EF4-FFF2-40B4-BE49-F238E27FC236}">
              <a16:creationId xmlns:a16="http://schemas.microsoft.com/office/drawing/2014/main" id="{5094B3AE-AC0A-4E03-845D-369D133C2FBE}"/>
            </a:ext>
          </a:extLst>
        </xdr:cNvPr>
        <xdr:cNvSpPr/>
      </xdr:nvSpPr>
      <xdr:spPr>
        <a:xfrm>
          <a:off x="17164049" y="7556500"/>
          <a:ext cx="11944350" cy="215899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95249</xdr:colOff>
      <xdr:row>22</xdr:row>
      <xdr:rowOff>168275</xdr:rowOff>
    </xdr:from>
    <xdr:to>
      <xdr:col>32</xdr:col>
      <xdr:colOff>214311</xdr:colOff>
      <xdr:row>23</xdr:row>
      <xdr:rowOff>23812</xdr:rowOff>
    </xdr:to>
    <xdr:sp macro="" textlink="">
      <xdr:nvSpPr>
        <xdr:cNvPr id="3" name="Flecha: doblada hacia arriba 2">
          <a:extLst>
            <a:ext uri="{FF2B5EF4-FFF2-40B4-BE49-F238E27FC236}">
              <a16:creationId xmlns:a16="http://schemas.microsoft.com/office/drawing/2014/main" id="{31FA9843-A843-4706-AAC7-7658EBFF2D6F}"/>
            </a:ext>
          </a:extLst>
        </xdr:cNvPr>
        <xdr:cNvSpPr/>
      </xdr:nvSpPr>
      <xdr:spPr>
        <a:xfrm flipH="1">
          <a:off x="2562224" y="7597775"/>
          <a:ext cx="12292012" cy="198437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285749</xdr:colOff>
      <xdr:row>21</xdr:row>
      <xdr:rowOff>127000</xdr:rowOff>
    </xdr:from>
    <xdr:to>
      <xdr:col>64</xdr:col>
      <xdr:colOff>142874</xdr:colOff>
      <xdr:row>22</xdr:row>
      <xdr:rowOff>-1</xdr:rowOff>
    </xdr:to>
    <xdr:sp macro="" textlink="">
      <xdr:nvSpPr>
        <xdr:cNvPr id="2" name="Flecha: doblada hacia arriba 1">
          <a:extLst>
            <a:ext uri="{FF2B5EF4-FFF2-40B4-BE49-F238E27FC236}">
              <a16:creationId xmlns:a16="http://schemas.microsoft.com/office/drawing/2014/main" id="{4A021B14-4AD7-4F3C-9DBF-4D3047889BDB}"/>
            </a:ext>
          </a:extLst>
        </xdr:cNvPr>
        <xdr:cNvSpPr/>
      </xdr:nvSpPr>
      <xdr:spPr>
        <a:xfrm>
          <a:off x="17554574" y="6537325"/>
          <a:ext cx="11944350" cy="215899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95249</xdr:colOff>
      <xdr:row>21</xdr:row>
      <xdr:rowOff>168275</xdr:rowOff>
    </xdr:from>
    <xdr:to>
      <xdr:col>32</xdr:col>
      <xdr:colOff>214311</xdr:colOff>
      <xdr:row>22</xdr:row>
      <xdr:rowOff>23812</xdr:rowOff>
    </xdr:to>
    <xdr:sp macro="" textlink="">
      <xdr:nvSpPr>
        <xdr:cNvPr id="3" name="Flecha: doblada hacia arriba 2">
          <a:extLst>
            <a:ext uri="{FF2B5EF4-FFF2-40B4-BE49-F238E27FC236}">
              <a16:creationId xmlns:a16="http://schemas.microsoft.com/office/drawing/2014/main" id="{362F196F-99BF-44F8-8407-2F01ECADE35E}"/>
            </a:ext>
          </a:extLst>
        </xdr:cNvPr>
        <xdr:cNvSpPr/>
      </xdr:nvSpPr>
      <xdr:spPr>
        <a:xfrm flipH="1">
          <a:off x="3038474" y="6578600"/>
          <a:ext cx="12206287" cy="198437"/>
        </a:xfrm>
        <a:prstGeom prst="bentUp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5381-09F2-4904-B37A-DDBECD0E69B1}">
  <sheetPr codeName="Hoja1">
    <pageSetUpPr fitToPage="1"/>
  </sheetPr>
  <dimension ref="A1:Q87"/>
  <sheetViews>
    <sheetView showGridLines="0" tabSelected="1" view="pageBreakPreview" zoomScale="51" zoomScaleNormal="60" zoomScaleSheetLayoutView="51" workbookViewId="0">
      <selection activeCell="M29" sqref="M29"/>
    </sheetView>
  </sheetViews>
  <sheetFormatPr baseColWidth="10" defaultColWidth="11.42578125" defaultRowHeight="12.75" outlineLevelRow="3" x14ac:dyDescent="0.2"/>
  <cols>
    <col min="1" max="1" width="4.28515625" style="1" customWidth="1"/>
    <col min="2" max="2" width="11.42578125" style="1"/>
    <col min="3" max="3" width="23.140625" style="1" customWidth="1"/>
    <col min="4" max="4" width="21.140625" style="1" customWidth="1"/>
    <col min="5" max="5" width="20" style="1" customWidth="1"/>
    <col min="6" max="6" width="15.7109375" style="1" customWidth="1"/>
    <col min="7" max="7" width="17.42578125" style="1" customWidth="1"/>
    <col min="8" max="8" width="24.42578125" style="1" customWidth="1"/>
    <col min="9" max="9" width="23.5703125" style="1" customWidth="1"/>
    <col min="10" max="10" width="24.140625" style="1" customWidth="1"/>
    <col min="11" max="11" width="21" style="1" customWidth="1"/>
    <col min="12" max="12" width="24.140625" style="1" customWidth="1"/>
    <col min="13" max="13" width="21.28515625" style="1" customWidth="1"/>
    <col min="14" max="14" width="25.28515625" style="1" customWidth="1"/>
    <col min="15" max="15" width="28.42578125" style="1" customWidth="1"/>
    <col min="16" max="16384" width="11.42578125" style="1"/>
  </cols>
  <sheetData>
    <row r="1" spans="1:17" ht="39" customHeight="1" x14ac:dyDescent="0.2">
      <c r="B1" s="158"/>
      <c r="C1" s="159"/>
      <c r="D1" s="159"/>
      <c r="E1" s="162" t="s">
        <v>59</v>
      </c>
      <c r="F1" s="163"/>
      <c r="G1" s="163"/>
      <c r="H1" s="163"/>
      <c r="I1" s="163"/>
      <c r="J1" s="163"/>
      <c r="K1" s="163"/>
      <c r="L1" s="163"/>
      <c r="M1" s="163"/>
      <c r="N1" s="168" t="s">
        <v>87</v>
      </c>
      <c r="O1" s="169"/>
    </row>
    <row r="2" spans="1:17" ht="39" customHeight="1" x14ac:dyDescent="0.2">
      <c r="B2" s="160"/>
      <c r="C2" s="161"/>
      <c r="D2" s="161"/>
      <c r="E2" s="164"/>
      <c r="F2" s="165"/>
      <c r="G2" s="165"/>
      <c r="H2" s="165"/>
      <c r="I2" s="165"/>
      <c r="J2" s="165"/>
      <c r="K2" s="165"/>
      <c r="L2" s="165"/>
      <c r="M2" s="165"/>
      <c r="N2" s="170">
        <v>44367</v>
      </c>
      <c r="O2" s="171"/>
    </row>
    <row r="3" spans="1:17" ht="39" customHeight="1" x14ac:dyDescent="0.2">
      <c r="B3" s="160"/>
      <c r="C3" s="161"/>
      <c r="D3" s="161"/>
      <c r="E3" s="166"/>
      <c r="F3" s="167"/>
      <c r="G3" s="167"/>
      <c r="H3" s="167"/>
      <c r="I3" s="167"/>
      <c r="J3" s="167"/>
      <c r="K3" s="167"/>
      <c r="L3" s="167"/>
      <c r="M3" s="167"/>
      <c r="N3" s="172" t="s">
        <v>0</v>
      </c>
      <c r="O3" s="171"/>
    </row>
    <row r="4" spans="1:17" ht="45.75" customHeight="1" thickBot="1" x14ac:dyDescent="0.25">
      <c r="B4" s="155" t="s">
        <v>1</v>
      </c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7"/>
    </row>
    <row r="5" spans="1:17" ht="40.5" customHeight="1" x14ac:dyDescent="0.2">
      <c r="B5" s="173" t="s">
        <v>2</v>
      </c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5"/>
    </row>
    <row r="6" spans="1:17" s="7" customFormat="1" ht="58.5" customHeight="1" x14ac:dyDescent="0.2">
      <c r="A6" s="2"/>
      <c r="B6" s="3" t="s">
        <v>3</v>
      </c>
      <c r="C6" s="176" t="s">
        <v>4</v>
      </c>
      <c r="D6" s="177"/>
      <c r="E6" s="177"/>
      <c r="F6" s="177"/>
      <c r="G6" s="178"/>
      <c r="H6" s="4" t="s">
        <v>5</v>
      </c>
      <c r="I6" s="4" t="s">
        <v>78</v>
      </c>
      <c r="J6" s="4" t="s">
        <v>79</v>
      </c>
      <c r="K6" s="4" t="s">
        <v>86</v>
      </c>
      <c r="L6" s="4" t="s">
        <v>7</v>
      </c>
      <c r="M6" s="5" t="s">
        <v>6</v>
      </c>
      <c r="N6" s="176" t="s">
        <v>8</v>
      </c>
      <c r="O6" s="179"/>
      <c r="P6" s="6"/>
      <c r="Q6" s="6"/>
    </row>
    <row r="7" spans="1:17" s="7" customFormat="1" ht="40.5" customHeight="1" x14ac:dyDescent="0.2">
      <c r="A7" s="2"/>
      <c r="B7" s="9">
        <v>1</v>
      </c>
      <c r="C7" s="138" t="s">
        <v>61</v>
      </c>
      <c r="D7" s="139"/>
      <c r="E7" s="139"/>
      <c r="F7" s="139"/>
      <c r="G7" s="140"/>
      <c r="H7" s="10">
        <v>876</v>
      </c>
      <c r="I7" s="11"/>
      <c r="J7" s="11">
        <v>876</v>
      </c>
      <c r="K7" s="106">
        <f>J7/H7</f>
        <v>1</v>
      </c>
      <c r="L7" s="11">
        <f>H7-J7</f>
        <v>0</v>
      </c>
      <c r="M7" s="12">
        <v>45265</v>
      </c>
      <c r="N7" s="146"/>
      <c r="O7" s="147"/>
      <c r="P7" s="6"/>
      <c r="Q7" s="6"/>
    </row>
    <row r="8" spans="1:17" s="7" customFormat="1" ht="40.5" customHeight="1" x14ac:dyDescent="0.2">
      <c r="A8" s="2"/>
      <c r="B8" s="9">
        <v>2</v>
      </c>
      <c r="C8" s="138" t="s">
        <v>62</v>
      </c>
      <c r="D8" s="139"/>
      <c r="E8" s="139"/>
      <c r="F8" s="139"/>
      <c r="G8" s="140"/>
      <c r="H8" s="10">
        <v>876</v>
      </c>
      <c r="I8" s="11"/>
      <c r="J8" s="11">
        <v>876</v>
      </c>
      <c r="K8" s="106">
        <f>J8/H8</f>
        <v>1</v>
      </c>
      <c r="L8" s="11">
        <f>H8-J8</f>
        <v>0</v>
      </c>
      <c r="M8" s="12">
        <v>45265</v>
      </c>
      <c r="N8" s="15"/>
      <c r="O8" s="16"/>
      <c r="P8" s="6"/>
      <c r="Q8" s="6"/>
    </row>
    <row r="9" spans="1:17" s="7" customFormat="1" ht="40.5" customHeight="1" x14ac:dyDescent="0.2">
      <c r="A9" s="2"/>
      <c r="B9" s="9">
        <v>3</v>
      </c>
      <c r="C9" s="138" t="s">
        <v>63</v>
      </c>
      <c r="D9" s="139"/>
      <c r="E9" s="139"/>
      <c r="F9" s="139"/>
      <c r="G9" s="140"/>
      <c r="H9" s="10">
        <v>876</v>
      </c>
      <c r="I9" s="11">
        <v>60</v>
      </c>
      <c r="J9" s="11">
        <v>840</v>
      </c>
      <c r="K9" s="106">
        <f>J9/H9</f>
        <v>0.95890410958904104</v>
      </c>
      <c r="L9" s="11">
        <f>H9-J9</f>
        <v>36</v>
      </c>
      <c r="M9" s="12">
        <v>45293</v>
      </c>
      <c r="N9" s="15"/>
      <c r="O9" s="16"/>
      <c r="P9" s="6"/>
      <c r="Q9" s="6"/>
    </row>
    <row r="10" spans="1:17" s="7" customFormat="1" ht="39.6" hidden="1" customHeight="1" outlineLevel="2" x14ac:dyDescent="0.2">
      <c r="A10" s="2"/>
      <c r="B10" s="9"/>
      <c r="C10" s="138" t="s">
        <v>63</v>
      </c>
      <c r="D10" s="139"/>
      <c r="E10" s="139"/>
      <c r="F10" s="139"/>
      <c r="G10" s="140"/>
      <c r="H10" s="10"/>
      <c r="I10" s="11">
        <v>60</v>
      </c>
      <c r="J10" s="11">
        <v>60</v>
      </c>
      <c r="K10" s="106"/>
      <c r="L10" s="11"/>
      <c r="M10" s="12">
        <v>45271</v>
      </c>
      <c r="N10" s="15"/>
      <c r="O10" s="16"/>
      <c r="P10" s="6"/>
      <c r="Q10" s="6"/>
    </row>
    <row r="11" spans="1:17" s="7" customFormat="1" ht="39.6" hidden="1" customHeight="1" outlineLevel="2" x14ac:dyDescent="0.2">
      <c r="A11" s="2"/>
      <c r="B11" s="9"/>
      <c r="C11" s="138" t="s">
        <v>63</v>
      </c>
      <c r="D11" s="139"/>
      <c r="E11" s="139"/>
      <c r="F11" s="139"/>
      <c r="G11" s="140"/>
      <c r="H11" s="10"/>
      <c r="I11" s="11">
        <v>100</v>
      </c>
      <c r="J11" s="11">
        <f t="shared" ref="J11" si="0">G11+H11</f>
        <v>0</v>
      </c>
      <c r="K11" s="106"/>
      <c r="L11" s="11"/>
      <c r="M11" s="12">
        <v>45269</v>
      </c>
      <c r="N11" s="15"/>
      <c r="O11" s="16"/>
      <c r="P11" s="6"/>
      <c r="Q11" s="6"/>
    </row>
    <row r="12" spans="1:17" s="7" customFormat="1" ht="39.6" hidden="1" customHeight="1" outlineLevel="2" x14ac:dyDescent="0.2">
      <c r="A12" s="2"/>
      <c r="B12" s="9"/>
      <c r="C12" s="138" t="s">
        <v>63</v>
      </c>
      <c r="D12" s="139"/>
      <c r="E12" s="139"/>
      <c r="F12" s="139"/>
      <c r="G12" s="140"/>
      <c r="H12" s="10"/>
      <c r="I12" s="11">
        <v>100</v>
      </c>
      <c r="J12" s="11">
        <f t="shared" ref="J12" si="1">G12+H12</f>
        <v>0</v>
      </c>
      <c r="K12" s="106"/>
      <c r="L12" s="11"/>
      <c r="M12" s="12">
        <v>45267</v>
      </c>
      <c r="N12" s="15"/>
      <c r="O12" s="16"/>
      <c r="P12" s="6"/>
      <c r="Q12" s="6"/>
    </row>
    <row r="13" spans="1:17" s="7" customFormat="1" ht="39.6" hidden="1" customHeight="1" outlineLevel="2" x14ac:dyDescent="0.2">
      <c r="A13" s="2"/>
      <c r="B13" s="9"/>
      <c r="C13" s="138" t="s">
        <v>63</v>
      </c>
      <c r="D13" s="139"/>
      <c r="E13" s="139"/>
      <c r="F13" s="139"/>
      <c r="G13" s="140"/>
      <c r="H13" s="10"/>
      <c r="I13" s="11">
        <v>100</v>
      </c>
      <c r="J13" s="11">
        <f t="shared" ref="J13:J18" si="2">G13+H13</f>
        <v>0</v>
      </c>
      <c r="K13" s="106"/>
      <c r="L13" s="11"/>
      <c r="M13" s="12">
        <v>45266</v>
      </c>
      <c r="N13" s="15"/>
      <c r="O13" s="16"/>
      <c r="P13" s="6"/>
      <c r="Q13" s="6"/>
    </row>
    <row r="14" spans="1:17" s="7" customFormat="1" ht="39.6" hidden="1" customHeight="1" outlineLevel="2" x14ac:dyDescent="0.2">
      <c r="A14" s="2"/>
      <c r="B14" s="9"/>
      <c r="C14" s="138" t="s">
        <v>63</v>
      </c>
      <c r="D14" s="139"/>
      <c r="E14" s="139"/>
      <c r="F14" s="139"/>
      <c r="G14" s="140"/>
      <c r="H14" s="10"/>
      <c r="I14" s="11">
        <v>85</v>
      </c>
      <c r="J14" s="11">
        <f t="shared" si="2"/>
        <v>0</v>
      </c>
      <c r="K14" s="106"/>
      <c r="L14" s="11"/>
      <c r="M14" s="12">
        <v>45265</v>
      </c>
      <c r="N14" s="15"/>
      <c r="O14" s="16"/>
      <c r="P14" s="6"/>
      <c r="Q14" s="6"/>
    </row>
    <row r="15" spans="1:17" s="7" customFormat="1" ht="39.6" hidden="1" customHeight="1" outlineLevel="2" x14ac:dyDescent="0.2">
      <c r="A15" s="2"/>
      <c r="B15" s="9"/>
      <c r="C15" s="138" t="s">
        <v>63</v>
      </c>
      <c r="D15" s="139"/>
      <c r="E15" s="139"/>
      <c r="F15" s="139"/>
      <c r="G15" s="140"/>
      <c r="H15" s="10"/>
      <c r="I15" s="11">
        <v>105</v>
      </c>
      <c r="J15" s="11">
        <f t="shared" si="2"/>
        <v>0</v>
      </c>
      <c r="K15" s="106"/>
      <c r="L15" s="11"/>
      <c r="M15" s="12">
        <v>45264</v>
      </c>
      <c r="N15" s="15"/>
      <c r="O15" s="16"/>
      <c r="P15" s="6"/>
      <c r="Q15" s="6"/>
    </row>
    <row r="16" spans="1:17" s="7" customFormat="1" ht="39.6" hidden="1" customHeight="1" outlineLevel="3" x14ac:dyDescent="0.2">
      <c r="A16" s="2"/>
      <c r="B16" s="9"/>
      <c r="C16" s="138" t="s">
        <v>63</v>
      </c>
      <c r="D16" s="139"/>
      <c r="E16" s="139"/>
      <c r="F16" s="139"/>
      <c r="G16" s="140"/>
      <c r="H16" s="10"/>
      <c r="I16" s="11">
        <v>60</v>
      </c>
      <c r="J16" s="11">
        <f t="shared" si="2"/>
        <v>0</v>
      </c>
      <c r="K16" s="106"/>
      <c r="L16" s="11"/>
      <c r="M16" s="12">
        <v>45262</v>
      </c>
      <c r="N16" s="15"/>
      <c r="O16" s="16"/>
      <c r="P16" s="6"/>
      <c r="Q16" s="6"/>
    </row>
    <row r="17" spans="1:17" s="7" customFormat="1" ht="39.6" hidden="1" customHeight="1" outlineLevel="3" x14ac:dyDescent="0.2">
      <c r="A17" s="2"/>
      <c r="B17" s="9"/>
      <c r="C17" s="138" t="s">
        <v>63</v>
      </c>
      <c r="D17" s="139"/>
      <c r="E17" s="139"/>
      <c r="F17" s="139"/>
      <c r="G17" s="140"/>
      <c r="H17" s="10"/>
      <c r="I17" s="11">
        <v>75</v>
      </c>
      <c r="J17" s="11">
        <f t="shared" si="2"/>
        <v>0</v>
      </c>
      <c r="K17" s="106"/>
      <c r="L17" s="11"/>
      <c r="M17" s="12">
        <v>45261</v>
      </c>
      <c r="N17" s="15"/>
      <c r="O17" s="16"/>
      <c r="P17" s="6"/>
      <c r="Q17" s="6"/>
    </row>
    <row r="18" spans="1:17" s="7" customFormat="1" ht="39.6" hidden="1" customHeight="1" outlineLevel="3" x14ac:dyDescent="0.2">
      <c r="A18" s="2"/>
      <c r="B18" s="9"/>
      <c r="C18" s="138" t="s">
        <v>63</v>
      </c>
      <c r="D18" s="139"/>
      <c r="E18" s="139"/>
      <c r="F18" s="139"/>
      <c r="G18" s="140"/>
      <c r="H18" s="10"/>
      <c r="I18" s="11">
        <v>35</v>
      </c>
      <c r="J18" s="11">
        <f t="shared" si="2"/>
        <v>0</v>
      </c>
      <c r="K18" s="106"/>
      <c r="L18" s="11"/>
      <c r="M18" s="12">
        <v>45260</v>
      </c>
      <c r="N18" s="15"/>
      <c r="O18" s="16"/>
      <c r="P18" s="6"/>
      <c r="Q18" s="6"/>
    </row>
    <row r="19" spans="1:17" s="7" customFormat="1" ht="39.6" customHeight="1" collapsed="1" x14ac:dyDescent="0.2">
      <c r="A19" s="2"/>
      <c r="B19" s="9">
        <v>4</v>
      </c>
      <c r="C19" s="138" t="s">
        <v>60</v>
      </c>
      <c r="D19" s="139"/>
      <c r="E19" s="139"/>
      <c r="F19" s="139"/>
      <c r="G19" s="140"/>
      <c r="H19" s="10">
        <v>1752</v>
      </c>
      <c r="I19" s="11">
        <v>120</v>
      </c>
      <c r="J19" s="11">
        <v>1560</v>
      </c>
      <c r="K19" s="106">
        <f>J19/H19</f>
        <v>0.8904109589041096</v>
      </c>
      <c r="L19" s="11">
        <f>H19-J19</f>
        <v>192</v>
      </c>
      <c r="M19" s="12">
        <v>45283</v>
      </c>
      <c r="N19" s="141"/>
      <c r="O19" s="142"/>
      <c r="P19" s="6"/>
      <c r="Q19" s="6"/>
    </row>
    <row r="20" spans="1:17" s="7" customFormat="1" ht="39.6" hidden="1" customHeight="1" outlineLevel="1" x14ac:dyDescent="0.2">
      <c r="A20" s="2"/>
      <c r="B20" s="9"/>
      <c r="C20" s="138" t="s">
        <v>60</v>
      </c>
      <c r="D20" s="139"/>
      <c r="E20" s="139"/>
      <c r="F20" s="139"/>
      <c r="G20" s="140"/>
      <c r="H20" s="10"/>
      <c r="I20" s="11">
        <v>120</v>
      </c>
      <c r="J20" s="11">
        <v>1440</v>
      </c>
      <c r="K20" s="106"/>
      <c r="L20" s="11"/>
      <c r="M20" s="12">
        <v>45271</v>
      </c>
      <c r="N20" s="15"/>
      <c r="O20" s="16"/>
      <c r="P20" s="6"/>
      <c r="Q20" s="6"/>
    </row>
    <row r="21" spans="1:17" s="7" customFormat="1" ht="39.6" hidden="1" customHeight="1" outlineLevel="1" x14ac:dyDescent="0.2">
      <c r="A21" s="2"/>
      <c r="B21" s="9"/>
      <c r="C21" s="138" t="s">
        <v>60</v>
      </c>
      <c r="D21" s="139"/>
      <c r="E21" s="139"/>
      <c r="F21" s="139"/>
      <c r="G21" s="140"/>
      <c r="H21" s="10"/>
      <c r="I21" s="11">
        <v>200</v>
      </c>
      <c r="J21" s="11">
        <f t="shared" ref="J21" si="3">G21+H21</f>
        <v>0</v>
      </c>
      <c r="K21" s="106"/>
      <c r="L21" s="11"/>
      <c r="M21" s="12">
        <v>45269</v>
      </c>
      <c r="N21" s="15"/>
      <c r="O21" s="16"/>
      <c r="P21" s="6"/>
      <c r="Q21" s="6"/>
    </row>
    <row r="22" spans="1:17" s="7" customFormat="1" ht="39.6" hidden="1" customHeight="1" outlineLevel="1" x14ac:dyDescent="0.2">
      <c r="A22" s="2"/>
      <c r="B22" s="9"/>
      <c r="C22" s="138" t="s">
        <v>60</v>
      </c>
      <c r="D22" s="139"/>
      <c r="E22" s="139"/>
      <c r="F22" s="139"/>
      <c r="G22" s="140"/>
      <c r="H22" s="10"/>
      <c r="I22" s="11">
        <v>200</v>
      </c>
      <c r="J22" s="11">
        <f t="shared" ref="J22" si="4">G22+H22</f>
        <v>0</v>
      </c>
      <c r="K22" s="106"/>
      <c r="L22" s="11"/>
      <c r="M22" s="12">
        <v>45267</v>
      </c>
      <c r="N22" s="15"/>
      <c r="O22" s="16"/>
      <c r="P22" s="6"/>
      <c r="Q22" s="6"/>
    </row>
    <row r="23" spans="1:17" s="7" customFormat="1" ht="39.6" hidden="1" customHeight="1" outlineLevel="1" x14ac:dyDescent="0.2">
      <c r="A23" s="2"/>
      <c r="B23" s="9"/>
      <c r="C23" s="138" t="s">
        <v>60</v>
      </c>
      <c r="D23" s="139"/>
      <c r="E23" s="139"/>
      <c r="F23" s="139"/>
      <c r="G23" s="140"/>
      <c r="H23" s="10"/>
      <c r="I23" s="11">
        <v>200</v>
      </c>
      <c r="J23" s="11">
        <f t="shared" ref="J23:J28" si="5">G23+H23</f>
        <v>0</v>
      </c>
      <c r="K23" s="106"/>
      <c r="L23" s="11"/>
      <c r="M23" s="12">
        <v>45266</v>
      </c>
      <c r="N23" s="15"/>
      <c r="O23" s="16"/>
      <c r="P23" s="6"/>
      <c r="Q23" s="6"/>
    </row>
    <row r="24" spans="1:17" s="7" customFormat="1" ht="39.6" hidden="1" customHeight="1" outlineLevel="1" x14ac:dyDescent="0.2">
      <c r="A24" s="2"/>
      <c r="B24" s="9"/>
      <c r="C24" s="138" t="s">
        <v>60</v>
      </c>
      <c r="D24" s="139"/>
      <c r="E24" s="139"/>
      <c r="F24" s="139"/>
      <c r="G24" s="140"/>
      <c r="H24" s="10"/>
      <c r="I24" s="11">
        <v>170</v>
      </c>
      <c r="J24" s="11">
        <f t="shared" si="5"/>
        <v>0</v>
      </c>
      <c r="K24" s="106"/>
      <c r="L24" s="11"/>
      <c r="M24" s="12">
        <v>45265</v>
      </c>
      <c r="N24" s="15"/>
      <c r="O24" s="16"/>
      <c r="P24" s="6"/>
      <c r="Q24" s="6"/>
    </row>
    <row r="25" spans="1:17" s="7" customFormat="1" ht="39.6" hidden="1" customHeight="1" outlineLevel="1" x14ac:dyDescent="0.2">
      <c r="A25" s="2"/>
      <c r="B25" s="9"/>
      <c r="C25" s="138" t="s">
        <v>60</v>
      </c>
      <c r="D25" s="139"/>
      <c r="E25" s="139"/>
      <c r="F25" s="139"/>
      <c r="G25" s="140"/>
      <c r="H25" s="10"/>
      <c r="I25" s="11">
        <v>210</v>
      </c>
      <c r="J25" s="11">
        <f t="shared" si="5"/>
        <v>0</v>
      </c>
      <c r="K25" s="106"/>
      <c r="L25" s="11"/>
      <c r="M25" s="12">
        <v>45264</v>
      </c>
      <c r="N25" s="15"/>
      <c r="O25" s="16"/>
      <c r="P25" s="6"/>
      <c r="Q25" s="6"/>
    </row>
    <row r="26" spans="1:17" s="7" customFormat="1" ht="39.6" hidden="1" customHeight="1" outlineLevel="2" x14ac:dyDescent="0.2">
      <c r="A26" s="2"/>
      <c r="B26" s="9"/>
      <c r="C26" s="138" t="s">
        <v>60</v>
      </c>
      <c r="D26" s="139"/>
      <c r="E26" s="139"/>
      <c r="F26" s="139"/>
      <c r="G26" s="140"/>
      <c r="H26" s="10"/>
      <c r="I26" s="11">
        <v>120</v>
      </c>
      <c r="J26" s="11">
        <f t="shared" si="5"/>
        <v>0</v>
      </c>
      <c r="K26" s="106"/>
      <c r="L26" s="11"/>
      <c r="M26" s="12">
        <v>45262</v>
      </c>
      <c r="N26" s="15"/>
      <c r="O26" s="16"/>
      <c r="P26" s="6"/>
      <c r="Q26" s="6"/>
    </row>
    <row r="27" spans="1:17" s="7" customFormat="1" ht="39.6" hidden="1" customHeight="1" outlineLevel="2" x14ac:dyDescent="0.2">
      <c r="A27" s="2"/>
      <c r="B27" s="9"/>
      <c r="C27" s="138" t="s">
        <v>60</v>
      </c>
      <c r="D27" s="139"/>
      <c r="E27" s="139"/>
      <c r="F27" s="139"/>
      <c r="G27" s="140"/>
      <c r="H27" s="10"/>
      <c r="I27" s="11">
        <v>150</v>
      </c>
      <c r="J27" s="11">
        <f t="shared" si="5"/>
        <v>0</v>
      </c>
      <c r="K27" s="106"/>
      <c r="L27" s="11"/>
      <c r="M27" s="12">
        <v>45261</v>
      </c>
      <c r="N27" s="15"/>
      <c r="O27" s="16"/>
      <c r="P27" s="6"/>
      <c r="Q27" s="6"/>
    </row>
    <row r="28" spans="1:17" s="7" customFormat="1" ht="39.6" hidden="1" customHeight="1" outlineLevel="2" x14ac:dyDescent="0.2">
      <c r="A28" s="2"/>
      <c r="B28" s="9"/>
      <c r="C28" s="138" t="s">
        <v>60</v>
      </c>
      <c r="D28" s="139"/>
      <c r="E28" s="139"/>
      <c r="F28" s="139"/>
      <c r="G28" s="140"/>
      <c r="H28" s="10"/>
      <c r="I28" s="11">
        <v>70</v>
      </c>
      <c r="J28" s="11">
        <f t="shared" si="5"/>
        <v>0</v>
      </c>
      <c r="K28" s="106"/>
      <c r="L28" s="11"/>
      <c r="M28" s="12">
        <v>45260</v>
      </c>
      <c r="N28" s="15"/>
      <c r="O28" s="16"/>
      <c r="P28" s="6"/>
      <c r="Q28" s="6"/>
    </row>
    <row r="29" spans="1:17" s="14" customFormat="1" ht="39.6" customHeight="1" collapsed="1" x14ac:dyDescent="0.25">
      <c r="A29" s="8"/>
      <c r="B29" s="9">
        <v>5</v>
      </c>
      <c r="C29" s="148" t="s">
        <v>57</v>
      </c>
      <c r="D29" s="149"/>
      <c r="E29" s="149"/>
      <c r="F29" s="149"/>
      <c r="G29" s="150"/>
      <c r="H29" s="10">
        <v>876</v>
      </c>
      <c r="I29" s="11">
        <v>64</v>
      </c>
      <c r="J29" s="11">
        <f ca="1">T.LODOS!U27</f>
        <v>792</v>
      </c>
      <c r="K29" s="106">
        <f ca="1">J29/H29</f>
        <v>0.90410958904109584</v>
      </c>
      <c r="L29" s="11">
        <f ca="1">H29-J29</f>
        <v>84</v>
      </c>
      <c r="M29" s="12">
        <v>45295</v>
      </c>
      <c r="N29" s="141"/>
      <c r="O29" s="142"/>
      <c r="P29" s="13"/>
      <c r="Q29" s="13"/>
    </row>
    <row r="30" spans="1:17" s="14" customFormat="1" ht="39.6" hidden="1" customHeight="1" outlineLevel="1" x14ac:dyDescent="0.25">
      <c r="A30" s="8"/>
      <c r="B30" s="9"/>
      <c r="C30" s="138" t="s">
        <v>57</v>
      </c>
      <c r="D30" s="139"/>
      <c r="E30" s="139"/>
      <c r="F30" s="139"/>
      <c r="G30" s="140"/>
      <c r="H30" s="10"/>
      <c r="I30" s="11"/>
      <c r="J30" s="11"/>
      <c r="K30" s="106"/>
      <c r="L30" s="11"/>
      <c r="M30" s="12"/>
      <c r="N30" s="15"/>
      <c r="O30" s="16"/>
      <c r="P30" s="13"/>
      <c r="Q30" s="13"/>
    </row>
    <row r="31" spans="1:17" s="14" customFormat="1" ht="39.6" hidden="1" customHeight="1" outlineLevel="1" x14ac:dyDescent="0.25">
      <c r="A31" s="8"/>
      <c r="B31" s="9"/>
      <c r="C31" s="138" t="s">
        <v>57</v>
      </c>
      <c r="D31" s="139"/>
      <c r="E31" s="139"/>
      <c r="F31" s="139"/>
      <c r="G31" s="140"/>
      <c r="H31" s="10"/>
      <c r="I31" s="11"/>
      <c r="J31" s="11"/>
      <c r="K31" s="106"/>
      <c r="L31" s="11"/>
      <c r="M31" s="12"/>
      <c r="N31" s="15"/>
      <c r="O31" s="16"/>
      <c r="P31" s="13"/>
      <c r="Q31" s="13"/>
    </row>
    <row r="32" spans="1:17" s="14" customFormat="1" ht="39.6" hidden="1" customHeight="1" outlineLevel="1" x14ac:dyDescent="0.25">
      <c r="A32" s="8"/>
      <c r="B32" s="9"/>
      <c r="C32" s="138" t="s">
        <v>57</v>
      </c>
      <c r="D32" s="139"/>
      <c r="E32" s="139"/>
      <c r="F32" s="139"/>
      <c r="G32" s="140"/>
      <c r="H32" s="10"/>
      <c r="I32" s="11"/>
      <c r="J32" s="11"/>
      <c r="K32" s="106"/>
      <c r="L32" s="11"/>
      <c r="M32" s="12"/>
      <c r="N32" s="15"/>
      <c r="O32" s="16"/>
      <c r="P32" s="13"/>
      <c r="Q32" s="13"/>
    </row>
    <row r="33" spans="1:17" s="14" customFormat="1" ht="39.6" hidden="1" customHeight="1" outlineLevel="1" x14ac:dyDescent="0.25">
      <c r="A33" s="8"/>
      <c r="B33" s="9"/>
      <c r="C33" s="138" t="s">
        <v>57</v>
      </c>
      <c r="D33" s="139"/>
      <c r="E33" s="139"/>
      <c r="F33" s="139"/>
      <c r="G33" s="140"/>
      <c r="H33" s="10"/>
      <c r="I33" s="11"/>
      <c r="J33" s="11"/>
      <c r="K33" s="106"/>
      <c r="L33" s="11"/>
      <c r="M33" s="12"/>
      <c r="N33" s="15"/>
      <c r="O33" s="16"/>
      <c r="P33" s="13"/>
      <c r="Q33" s="13"/>
    </row>
    <row r="34" spans="1:17" s="14" customFormat="1" ht="39.6" hidden="1" customHeight="1" outlineLevel="1" x14ac:dyDescent="0.25">
      <c r="A34" s="8"/>
      <c r="B34" s="9"/>
      <c r="C34" s="138" t="s">
        <v>57</v>
      </c>
      <c r="D34" s="139"/>
      <c r="E34" s="139"/>
      <c r="F34" s="139"/>
      <c r="G34" s="140"/>
      <c r="H34" s="10"/>
      <c r="I34" s="11">
        <v>64</v>
      </c>
      <c r="J34" s="11"/>
      <c r="K34" s="106"/>
      <c r="L34" s="11"/>
      <c r="M34" s="12">
        <v>45295</v>
      </c>
      <c r="N34" s="15"/>
      <c r="O34" s="16"/>
      <c r="P34" s="13"/>
      <c r="Q34" s="13"/>
    </row>
    <row r="35" spans="1:17" s="14" customFormat="1" ht="39.6" hidden="1" customHeight="1" outlineLevel="1" x14ac:dyDescent="0.25">
      <c r="A35" s="8"/>
      <c r="B35" s="9"/>
      <c r="C35" s="138" t="s">
        <v>57</v>
      </c>
      <c r="D35" s="139"/>
      <c r="E35" s="139"/>
      <c r="F35" s="139"/>
      <c r="G35" s="140"/>
      <c r="H35" s="10"/>
      <c r="I35" s="11">
        <v>2</v>
      </c>
      <c r="J35" s="11"/>
      <c r="K35" s="106"/>
      <c r="L35" s="11"/>
      <c r="M35" s="12">
        <v>45294</v>
      </c>
      <c r="N35" s="15"/>
      <c r="O35" s="16"/>
      <c r="P35" s="13"/>
      <c r="Q35" s="13"/>
    </row>
    <row r="36" spans="1:17" s="14" customFormat="1" ht="39.6" hidden="1" customHeight="1" outlineLevel="1" x14ac:dyDescent="0.25">
      <c r="A36" s="8"/>
      <c r="B36" s="9"/>
      <c r="C36" s="138" t="s">
        <v>57</v>
      </c>
      <c r="D36" s="139"/>
      <c r="E36" s="139"/>
      <c r="F36" s="139"/>
      <c r="G36" s="140"/>
      <c r="H36" s="10"/>
      <c r="I36" s="11">
        <v>118</v>
      </c>
      <c r="J36" s="11"/>
      <c r="K36" s="106"/>
      <c r="L36" s="11"/>
      <c r="M36" s="12">
        <v>45293</v>
      </c>
      <c r="N36" s="15"/>
      <c r="O36" s="16"/>
      <c r="P36" s="13"/>
      <c r="Q36" s="13"/>
    </row>
    <row r="37" spans="1:17" ht="39.6" hidden="1" customHeight="1" outlineLevel="1" x14ac:dyDescent="0.2">
      <c r="B37" s="9"/>
      <c r="C37" s="138" t="s">
        <v>57</v>
      </c>
      <c r="D37" s="139"/>
      <c r="E37" s="139"/>
      <c r="F37" s="139"/>
      <c r="G37" s="140"/>
      <c r="H37" s="10"/>
      <c r="I37" s="11">
        <v>60</v>
      </c>
      <c r="J37" s="11"/>
      <c r="K37" s="106"/>
      <c r="L37" s="11"/>
      <c r="M37" s="12">
        <v>45289</v>
      </c>
      <c r="N37" s="146"/>
      <c r="O37" s="147"/>
      <c r="P37" s="6"/>
      <c r="Q37" s="6"/>
    </row>
    <row r="38" spans="1:17" ht="39.6" hidden="1" customHeight="1" outlineLevel="1" x14ac:dyDescent="0.2">
      <c r="B38" s="9"/>
      <c r="C38" s="138" t="s">
        <v>57</v>
      </c>
      <c r="D38" s="139"/>
      <c r="E38" s="139"/>
      <c r="F38" s="139"/>
      <c r="G38" s="140"/>
      <c r="H38" s="10"/>
      <c r="I38" s="11">
        <v>38</v>
      </c>
      <c r="J38" s="11"/>
      <c r="K38" s="106"/>
      <c r="L38" s="11"/>
      <c r="M38" s="12">
        <v>45287</v>
      </c>
      <c r="N38" s="15"/>
      <c r="O38" s="16"/>
      <c r="P38" s="6"/>
      <c r="Q38" s="6"/>
    </row>
    <row r="39" spans="1:17" ht="39.6" hidden="1" customHeight="1" outlineLevel="1" x14ac:dyDescent="0.2">
      <c r="B39" s="9"/>
      <c r="C39" s="138" t="s">
        <v>57</v>
      </c>
      <c r="D39" s="139"/>
      <c r="E39" s="139"/>
      <c r="F39" s="139"/>
      <c r="G39" s="140"/>
      <c r="H39" s="10"/>
      <c r="I39" s="11">
        <v>114</v>
      </c>
      <c r="J39" s="11"/>
      <c r="K39" s="106"/>
      <c r="L39" s="11"/>
      <c r="M39" s="12">
        <v>45286</v>
      </c>
      <c r="N39" s="15"/>
      <c r="O39" s="16"/>
      <c r="P39" s="6"/>
      <c r="Q39" s="6"/>
    </row>
    <row r="40" spans="1:17" ht="39.6" hidden="1" customHeight="1" outlineLevel="1" x14ac:dyDescent="0.2">
      <c r="B40" s="9"/>
      <c r="C40" s="138" t="s">
        <v>57</v>
      </c>
      <c r="D40" s="139"/>
      <c r="E40" s="139"/>
      <c r="F40" s="139"/>
      <c r="G40" s="140"/>
      <c r="H40" s="10"/>
      <c r="I40" s="11">
        <v>60</v>
      </c>
      <c r="J40" s="11"/>
      <c r="K40" s="106"/>
      <c r="L40" s="11"/>
      <c r="M40" s="12">
        <v>45283</v>
      </c>
      <c r="N40" s="15"/>
      <c r="O40" s="16"/>
      <c r="P40" s="6"/>
      <c r="Q40" s="6"/>
    </row>
    <row r="41" spans="1:17" ht="39.6" hidden="1" customHeight="1" outlineLevel="1" x14ac:dyDescent="0.2">
      <c r="B41" s="9"/>
      <c r="C41" s="138" t="s">
        <v>57</v>
      </c>
      <c r="D41" s="139"/>
      <c r="E41" s="139"/>
      <c r="F41" s="139"/>
      <c r="G41" s="140"/>
      <c r="H41" s="10"/>
      <c r="I41" s="11">
        <v>88</v>
      </c>
      <c r="J41" s="11"/>
      <c r="K41" s="106"/>
      <c r="L41" s="11"/>
      <c r="M41" s="12">
        <v>45282</v>
      </c>
      <c r="N41" s="15"/>
      <c r="O41" s="16"/>
      <c r="P41" s="6"/>
      <c r="Q41" s="6"/>
    </row>
    <row r="42" spans="1:17" ht="39.6" hidden="1" customHeight="1" outlineLevel="1" x14ac:dyDescent="0.2">
      <c r="A42" s="17"/>
      <c r="B42" s="9"/>
      <c r="C42" s="138" t="s">
        <v>57</v>
      </c>
      <c r="D42" s="139"/>
      <c r="E42" s="139"/>
      <c r="F42" s="139"/>
      <c r="G42" s="140"/>
      <c r="H42" s="10"/>
      <c r="I42" s="11">
        <v>125</v>
      </c>
      <c r="J42" s="11"/>
      <c r="K42" s="106"/>
      <c r="L42" s="11"/>
      <c r="M42" s="12">
        <v>45279</v>
      </c>
      <c r="N42" s="146"/>
      <c r="O42" s="147"/>
      <c r="P42" s="6"/>
      <c r="Q42" s="6"/>
    </row>
    <row r="43" spans="1:17" ht="39.6" hidden="1" customHeight="1" outlineLevel="1" x14ac:dyDescent="0.2">
      <c r="A43" s="17"/>
      <c r="B43" s="9"/>
      <c r="C43" s="138" t="s">
        <v>57</v>
      </c>
      <c r="D43" s="139"/>
      <c r="E43" s="139"/>
      <c r="F43" s="139"/>
      <c r="G43" s="140"/>
      <c r="H43" s="10"/>
      <c r="I43" s="11">
        <v>115</v>
      </c>
      <c r="J43" s="11"/>
      <c r="K43" s="106"/>
      <c r="L43" s="11"/>
      <c r="M43" s="12">
        <v>45278</v>
      </c>
      <c r="N43" s="15"/>
      <c r="O43" s="16"/>
      <c r="P43" s="6"/>
      <c r="Q43" s="6"/>
    </row>
    <row r="44" spans="1:17" ht="39.6" customHeight="1" collapsed="1" x14ac:dyDescent="0.2">
      <c r="A44" s="154"/>
      <c r="B44" s="9">
        <v>6</v>
      </c>
      <c r="C44" s="148" t="s">
        <v>88</v>
      </c>
      <c r="D44" s="149"/>
      <c r="E44" s="149"/>
      <c r="F44" s="149"/>
      <c r="G44" s="150"/>
      <c r="H44" s="10">
        <v>876</v>
      </c>
      <c r="I44" s="11">
        <v>48</v>
      </c>
      <c r="J44" s="11">
        <f ca="1">T.LODOS!U28</f>
        <v>684</v>
      </c>
      <c r="K44" s="106">
        <f ca="1">J44/H44</f>
        <v>0.78082191780821919</v>
      </c>
      <c r="L44" s="11">
        <f ca="1">H44-J44</f>
        <v>192</v>
      </c>
      <c r="M44" s="12">
        <v>44933</v>
      </c>
      <c r="N44" s="141"/>
      <c r="O44" s="142"/>
      <c r="Q44" s="6"/>
    </row>
    <row r="45" spans="1:17" ht="39.6" hidden="1" customHeight="1" outlineLevel="1" x14ac:dyDescent="0.2">
      <c r="A45" s="154"/>
      <c r="B45" s="9"/>
      <c r="C45" s="31"/>
      <c r="D45" s="32"/>
      <c r="E45" s="32"/>
      <c r="F45" s="32"/>
      <c r="G45" s="33"/>
      <c r="H45" s="10"/>
      <c r="I45" s="11"/>
      <c r="J45" s="11"/>
      <c r="K45" s="11"/>
      <c r="L45" s="11"/>
      <c r="M45" s="12"/>
      <c r="N45" s="15"/>
      <c r="O45" s="16"/>
      <c r="Q45" s="6"/>
    </row>
    <row r="46" spans="1:17" ht="39.6" hidden="1" customHeight="1" outlineLevel="1" x14ac:dyDescent="0.2">
      <c r="A46" s="154"/>
      <c r="B46" s="9"/>
      <c r="C46" s="31"/>
      <c r="D46" s="32"/>
      <c r="E46" s="32"/>
      <c r="F46" s="32"/>
      <c r="G46" s="33"/>
      <c r="H46" s="10"/>
      <c r="I46" s="11"/>
      <c r="J46" s="11"/>
      <c r="K46" s="11"/>
      <c r="L46" s="11"/>
      <c r="M46" s="12"/>
      <c r="N46" s="15"/>
      <c r="O46" s="16"/>
      <c r="Q46" s="6"/>
    </row>
    <row r="47" spans="1:17" ht="39.6" hidden="1" customHeight="1" outlineLevel="1" x14ac:dyDescent="0.2">
      <c r="A47" s="154"/>
      <c r="B47" s="9"/>
      <c r="C47" s="31"/>
      <c r="D47" s="32"/>
      <c r="E47" s="32"/>
      <c r="F47" s="32"/>
      <c r="G47" s="33"/>
      <c r="H47" s="10"/>
      <c r="I47" s="11"/>
      <c r="J47" s="11"/>
      <c r="K47" s="11"/>
      <c r="L47" s="11"/>
      <c r="M47" s="12"/>
      <c r="N47" s="15"/>
      <c r="O47" s="16"/>
      <c r="Q47" s="6"/>
    </row>
    <row r="48" spans="1:17" ht="39.6" hidden="1" customHeight="1" outlineLevel="1" x14ac:dyDescent="0.2">
      <c r="A48" s="154"/>
      <c r="B48" s="9"/>
      <c r="C48" s="31"/>
      <c r="D48" s="32"/>
      <c r="E48" s="32"/>
      <c r="F48" s="32"/>
      <c r="G48" s="33"/>
      <c r="H48" s="10"/>
      <c r="I48" s="11"/>
      <c r="J48" s="11"/>
      <c r="K48" s="11"/>
      <c r="L48" s="11"/>
      <c r="M48" s="12"/>
      <c r="N48" s="15"/>
      <c r="O48" s="16"/>
      <c r="Q48" s="6"/>
    </row>
    <row r="49" spans="1:17" ht="39.6" hidden="1" customHeight="1" outlineLevel="1" x14ac:dyDescent="0.2">
      <c r="A49" s="154"/>
      <c r="B49" s="9"/>
      <c r="C49" s="31"/>
      <c r="D49" s="32"/>
      <c r="E49" s="32"/>
      <c r="F49" s="32"/>
      <c r="G49" s="33"/>
      <c r="H49" s="10"/>
      <c r="I49" s="11"/>
      <c r="J49" s="11"/>
      <c r="K49" s="11"/>
      <c r="L49" s="11"/>
      <c r="M49" s="12"/>
      <c r="N49" s="15"/>
      <c r="O49" s="16"/>
      <c r="Q49" s="6"/>
    </row>
    <row r="50" spans="1:17" ht="39.6" hidden="1" customHeight="1" outlineLevel="1" x14ac:dyDescent="0.2">
      <c r="A50" s="154"/>
      <c r="B50" s="9"/>
      <c r="C50" s="143"/>
      <c r="D50" s="144"/>
      <c r="E50" s="144"/>
      <c r="F50" s="144"/>
      <c r="G50" s="145"/>
      <c r="H50" s="19"/>
      <c r="I50" s="11"/>
      <c r="J50" s="11"/>
      <c r="K50" s="11"/>
      <c r="L50" s="11"/>
      <c r="M50" s="12"/>
      <c r="N50" s="146"/>
      <c r="O50" s="147"/>
      <c r="Q50" s="6"/>
    </row>
    <row r="51" spans="1:17" ht="39.6" hidden="1" customHeight="1" outlineLevel="1" x14ac:dyDescent="0.2">
      <c r="A51" s="154"/>
      <c r="B51" s="9"/>
      <c r="C51" s="143"/>
      <c r="D51" s="144"/>
      <c r="E51" s="144"/>
      <c r="F51" s="144"/>
      <c r="G51" s="145"/>
      <c r="H51" s="20"/>
      <c r="I51" s="11"/>
      <c r="J51" s="11"/>
      <c r="K51" s="11"/>
      <c r="L51" s="11"/>
      <c r="M51" s="12"/>
      <c r="N51" s="146"/>
      <c r="O51" s="147"/>
      <c r="Q51" s="6"/>
    </row>
    <row r="52" spans="1:17" ht="39.6" hidden="1" customHeight="1" outlineLevel="1" x14ac:dyDescent="0.2">
      <c r="A52" s="154"/>
      <c r="B52" s="9"/>
      <c r="C52" s="21"/>
      <c r="D52" s="22"/>
      <c r="E52" s="22"/>
      <c r="F52" s="22"/>
      <c r="G52" s="23"/>
      <c r="H52" s="20"/>
      <c r="I52" s="11"/>
      <c r="J52" s="11"/>
      <c r="K52" s="11"/>
      <c r="L52" s="11"/>
      <c r="M52" s="12"/>
      <c r="N52" s="15"/>
      <c r="O52" s="16"/>
      <c r="Q52" s="6"/>
    </row>
    <row r="53" spans="1:17" ht="39.6" hidden="1" customHeight="1" outlineLevel="1" x14ac:dyDescent="0.2">
      <c r="A53" s="154"/>
      <c r="B53" s="9"/>
      <c r="C53" s="21"/>
      <c r="D53" s="22"/>
      <c r="E53" s="22"/>
      <c r="F53" s="22"/>
      <c r="G53" s="23"/>
      <c r="H53" s="20"/>
      <c r="I53" s="11">
        <v>48</v>
      </c>
      <c r="J53" s="11"/>
      <c r="K53" s="11"/>
      <c r="L53" s="11"/>
      <c r="M53" s="12">
        <v>45298</v>
      </c>
      <c r="N53" s="15"/>
      <c r="O53" s="16"/>
      <c r="Q53" s="6"/>
    </row>
    <row r="54" spans="1:17" ht="39.6" hidden="1" customHeight="1" outlineLevel="1" x14ac:dyDescent="0.2">
      <c r="A54" s="154"/>
      <c r="B54" s="9"/>
      <c r="C54" s="143"/>
      <c r="D54" s="144"/>
      <c r="E54" s="144"/>
      <c r="F54" s="144"/>
      <c r="G54" s="145"/>
      <c r="H54" s="20"/>
      <c r="I54" s="11">
        <v>48</v>
      </c>
      <c r="J54" s="11"/>
      <c r="K54" s="11"/>
      <c r="L54" s="11"/>
      <c r="M54" s="12">
        <v>45295</v>
      </c>
      <c r="N54" s="146"/>
      <c r="O54" s="147"/>
      <c r="Q54" s="6"/>
    </row>
    <row r="55" spans="1:17" ht="39.6" customHeight="1" collapsed="1" x14ac:dyDescent="0.2">
      <c r="A55" s="154"/>
      <c r="B55" s="9">
        <v>7</v>
      </c>
      <c r="C55" s="148" t="s">
        <v>65</v>
      </c>
      <c r="D55" s="149"/>
      <c r="E55" s="149"/>
      <c r="F55" s="149"/>
      <c r="G55" s="150"/>
      <c r="H55" s="10">
        <v>876</v>
      </c>
      <c r="I55" s="11">
        <f>I44</f>
        <v>48</v>
      </c>
      <c r="J55" s="11">
        <f ca="1">J44</f>
        <v>684</v>
      </c>
      <c r="K55" s="106">
        <f ca="1">J55/H55</f>
        <v>0.78082191780821919</v>
      </c>
      <c r="L55" s="11">
        <f ca="1">H55-J55</f>
        <v>192</v>
      </c>
      <c r="M55" s="12">
        <v>44933</v>
      </c>
      <c r="N55" s="141"/>
      <c r="O55" s="142"/>
      <c r="Q55" s="6"/>
    </row>
    <row r="56" spans="1:17" ht="39.6" hidden="1" customHeight="1" outlineLevel="1" x14ac:dyDescent="0.2">
      <c r="A56" s="17"/>
      <c r="B56" s="9"/>
      <c r="C56" s="151"/>
      <c r="D56" s="152"/>
      <c r="E56" s="152"/>
      <c r="F56" s="152"/>
      <c r="G56" s="153"/>
      <c r="H56" s="20"/>
      <c r="I56" s="18"/>
      <c r="J56" s="11"/>
      <c r="K56" s="107"/>
      <c r="L56" s="11"/>
      <c r="M56" s="12"/>
      <c r="N56" s="146"/>
      <c r="O56" s="147"/>
      <c r="Q56" s="6"/>
    </row>
    <row r="57" spans="1:17" ht="39.6" hidden="1" customHeight="1" outlineLevel="1" x14ac:dyDescent="0.2">
      <c r="A57" s="17"/>
      <c r="B57" s="9"/>
      <c r="C57" s="25"/>
      <c r="D57" s="26"/>
      <c r="E57" s="26"/>
      <c r="F57" s="26"/>
      <c r="G57" s="27"/>
      <c r="H57" s="20"/>
      <c r="I57" s="18"/>
      <c r="J57" s="11"/>
      <c r="K57" s="107"/>
      <c r="L57" s="11"/>
      <c r="M57" s="12"/>
      <c r="N57" s="15"/>
      <c r="O57" s="16"/>
      <c r="Q57" s="6"/>
    </row>
    <row r="58" spans="1:17" ht="39.6" hidden="1" customHeight="1" outlineLevel="1" x14ac:dyDescent="0.2">
      <c r="A58" s="17"/>
      <c r="B58" s="9"/>
      <c r="C58" s="25"/>
      <c r="D58" s="26"/>
      <c r="E58" s="26"/>
      <c r="F58" s="26"/>
      <c r="G58" s="27"/>
      <c r="H58" s="20"/>
      <c r="I58" s="18"/>
      <c r="J58" s="11"/>
      <c r="K58" s="107"/>
      <c r="L58" s="11"/>
      <c r="M58" s="12"/>
      <c r="N58" s="15"/>
      <c r="O58" s="16"/>
      <c r="Q58" s="6"/>
    </row>
    <row r="59" spans="1:17" ht="39.6" hidden="1" customHeight="1" outlineLevel="1" x14ac:dyDescent="0.2">
      <c r="A59" s="17"/>
      <c r="B59" s="9"/>
      <c r="C59" s="25"/>
      <c r="D59" s="26"/>
      <c r="E59" s="26"/>
      <c r="F59" s="26"/>
      <c r="G59" s="27"/>
      <c r="H59" s="20"/>
      <c r="I59" s="18"/>
      <c r="J59" s="11"/>
      <c r="K59" s="107"/>
      <c r="L59" s="11"/>
      <c r="M59" s="12"/>
      <c r="N59" s="15"/>
      <c r="O59" s="16"/>
      <c r="Q59" s="6"/>
    </row>
    <row r="60" spans="1:17" ht="39.6" hidden="1" customHeight="1" outlineLevel="1" x14ac:dyDescent="0.2">
      <c r="A60" s="17"/>
      <c r="B60" s="9"/>
      <c r="C60" s="25"/>
      <c r="D60" s="26"/>
      <c r="E60" s="26"/>
      <c r="F60" s="26"/>
      <c r="G60" s="27"/>
      <c r="H60" s="20"/>
      <c r="I60" s="18"/>
      <c r="J60" s="11"/>
      <c r="K60" s="107"/>
      <c r="L60" s="11"/>
      <c r="M60" s="12"/>
      <c r="N60" s="15"/>
      <c r="O60" s="16"/>
      <c r="Q60" s="6"/>
    </row>
    <row r="61" spans="1:17" ht="39.6" hidden="1" customHeight="1" outlineLevel="1" x14ac:dyDescent="0.2">
      <c r="A61" s="17"/>
      <c r="B61" s="9"/>
      <c r="C61" s="25"/>
      <c r="D61" s="26"/>
      <c r="E61" s="26"/>
      <c r="F61" s="26"/>
      <c r="G61" s="27"/>
      <c r="H61" s="20"/>
      <c r="I61" s="18"/>
      <c r="J61" s="11"/>
      <c r="K61" s="107"/>
      <c r="L61" s="11"/>
      <c r="M61" s="12"/>
      <c r="N61" s="15"/>
      <c r="O61" s="16"/>
      <c r="Q61" s="6"/>
    </row>
    <row r="62" spans="1:17" ht="39.6" hidden="1" customHeight="1" outlineLevel="1" x14ac:dyDescent="0.2">
      <c r="A62" s="17"/>
      <c r="B62" s="9"/>
      <c r="C62" s="25"/>
      <c r="D62" s="26"/>
      <c r="E62" s="26"/>
      <c r="F62" s="26"/>
      <c r="G62" s="27"/>
      <c r="H62" s="20"/>
      <c r="I62" s="18"/>
      <c r="J62" s="11"/>
      <c r="K62" s="107"/>
      <c r="L62" s="11"/>
      <c r="M62" s="12"/>
      <c r="N62" s="15"/>
      <c r="O62" s="16"/>
      <c r="Q62" s="6"/>
    </row>
    <row r="63" spans="1:17" ht="39.6" hidden="1" customHeight="1" outlineLevel="1" x14ac:dyDescent="0.2">
      <c r="A63" s="17"/>
      <c r="B63" s="9"/>
      <c r="C63" s="25"/>
      <c r="D63" s="26"/>
      <c r="E63" s="26"/>
      <c r="F63" s="26"/>
      <c r="G63" s="27"/>
      <c r="H63" s="20"/>
      <c r="I63" s="18"/>
      <c r="J63" s="11"/>
      <c r="K63" s="107"/>
      <c r="L63" s="11"/>
      <c r="M63" s="12"/>
      <c r="N63" s="15"/>
      <c r="O63" s="16"/>
      <c r="Q63" s="6"/>
    </row>
    <row r="64" spans="1:17" ht="39.6" hidden="1" customHeight="1" outlineLevel="1" x14ac:dyDescent="0.2">
      <c r="A64" s="17"/>
      <c r="B64" s="9"/>
      <c r="C64" s="151"/>
      <c r="D64" s="152"/>
      <c r="E64" s="152"/>
      <c r="F64" s="152"/>
      <c r="G64" s="153"/>
      <c r="H64" s="20"/>
      <c r="I64" s="18"/>
      <c r="J64" s="11"/>
      <c r="K64" s="107"/>
      <c r="L64" s="11"/>
      <c r="M64" s="12"/>
      <c r="N64" s="146"/>
      <c r="O64" s="147"/>
      <c r="Q64" s="6"/>
    </row>
    <row r="65" spans="1:17" ht="39.6" hidden="1" customHeight="1" outlineLevel="1" x14ac:dyDescent="0.2">
      <c r="A65" s="17"/>
      <c r="B65" s="9"/>
      <c r="C65" s="28"/>
      <c r="D65" s="29"/>
      <c r="E65" s="29"/>
      <c r="F65" s="29"/>
      <c r="G65" s="30"/>
      <c r="H65" s="10"/>
      <c r="I65" s="18"/>
      <c r="J65" s="11"/>
      <c r="K65" s="107"/>
      <c r="L65" s="11"/>
      <c r="M65" s="12"/>
      <c r="N65" s="15"/>
      <c r="O65" s="16"/>
      <c r="Q65" s="6"/>
    </row>
    <row r="66" spans="1:17" ht="39.6" customHeight="1" collapsed="1" x14ac:dyDescent="0.2">
      <c r="A66" s="17"/>
      <c r="B66" s="9">
        <v>8</v>
      </c>
      <c r="C66" s="148" t="s">
        <v>89</v>
      </c>
      <c r="D66" s="149"/>
      <c r="E66" s="149"/>
      <c r="F66" s="149"/>
      <c r="G66" s="150"/>
      <c r="H66" s="10">
        <v>876</v>
      </c>
      <c r="I66" s="11">
        <v>48</v>
      </c>
      <c r="J66" s="11">
        <f ca="1">T.VAPOR!U28</f>
        <v>624</v>
      </c>
      <c r="K66" s="106">
        <f ca="1">J66/H66</f>
        <v>0.71232876712328763</v>
      </c>
      <c r="L66" s="11">
        <f ca="1">H66-J66</f>
        <v>252</v>
      </c>
      <c r="M66" s="12">
        <v>44933</v>
      </c>
      <c r="N66" s="141"/>
      <c r="O66" s="142"/>
      <c r="Q66" s="6"/>
    </row>
    <row r="67" spans="1:17" ht="39.6" hidden="1" customHeight="1" outlineLevel="1" x14ac:dyDescent="0.2">
      <c r="A67" s="17"/>
      <c r="B67" s="9"/>
      <c r="C67" s="31"/>
      <c r="D67" s="32"/>
      <c r="E67" s="32"/>
      <c r="F67" s="32"/>
      <c r="G67" s="33"/>
      <c r="H67" s="10"/>
      <c r="I67" s="116"/>
      <c r="J67" s="117"/>
      <c r="K67" s="107"/>
      <c r="L67" s="11"/>
      <c r="M67" s="12"/>
      <c r="N67" s="15"/>
      <c r="O67" s="16"/>
      <c r="Q67" s="6"/>
    </row>
    <row r="68" spans="1:17" ht="39.6" hidden="1" customHeight="1" outlineLevel="1" x14ac:dyDescent="0.2">
      <c r="A68" s="17"/>
      <c r="B68" s="9"/>
      <c r="C68" s="31"/>
      <c r="D68" s="32"/>
      <c r="E68" s="32"/>
      <c r="F68" s="32"/>
      <c r="G68" s="33"/>
      <c r="H68" s="10"/>
      <c r="I68" s="116"/>
      <c r="J68" s="117"/>
      <c r="K68" s="107"/>
      <c r="L68" s="11"/>
      <c r="M68" s="12"/>
      <c r="N68" s="15"/>
      <c r="O68" s="16"/>
      <c r="Q68" s="6"/>
    </row>
    <row r="69" spans="1:17" ht="39.6" hidden="1" customHeight="1" outlineLevel="1" x14ac:dyDescent="0.2">
      <c r="A69" s="17"/>
      <c r="B69" s="9"/>
      <c r="C69" s="31"/>
      <c r="D69" s="32"/>
      <c r="E69" s="32"/>
      <c r="F69" s="32"/>
      <c r="G69" s="33"/>
      <c r="H69" s="10"/>
      <c r="I69" s="116"/>
      <c r="J69" s="117"/>
      <c r="K69" s="107"/>
      <c r="L69" s="11"/>
      <c r="M69" s="12"/>
      <c r="N69" s="15"/>
      <c r="O69" s="16"/>
      <c r="Q69" s="6"/>
    </row>
    <row r="70" spans="1:17" ht="39.6" hidden="1" customHeight="1" outlineLevel="1" x14ac:dyDescent="0.2">
      <c r="A70" s="17"/>
      <c r="B70" s="9"/>
      <c r="C70" s="31"/>
      <c r="D70" s="32"/>
      <c r="E70" s="32"/>
      <c r="F70" s="32"/>
      <c r="G70" s="33"/>
      <c r="H70" s="10"/>
      <c r="I70" s="116"/>
      <c r="J70" s="117"/>
      <c r="K70" s="107"/>
      <c r="L70" s="11"/>
      <c r="M70" s="12"/>
      <c r="N70" s="15"/>
      <c r="O70" s="16"/>
      <c r="Q70" s="6"/>
    </row>
    <row r="71" spans="1:17" ht="39.6" hidden="1" customHeight="1" outlineLevel="1" x14ac:dyDescent="0.2">
      <c r="A71" s="17"/>
      <c r="B71" s="9"/>
      <c r="C71" s="28"/>
      <c r="D71" s="29"/>
      <c r="E71" s="29"/>
      <c r="F71" s="29"/>
      <c r="G71" s="30"/>
      <c r="H71" s="10"/>
      <c r="I71" s="116"/>
      <c r="J71" s="117"/>
      <c r="K71" s="107"/>
      <c r="L71" s="11"/>
      <c r="M71" s="12"/>
      <c r="N71" s="15"/>
      <c r="O71" s="16"/>
      <c r="Q71" s="6"/>
    </row>
    <row r="72" spans="1:17" ht="39.6" hidden="1" customHeight="1" outlineLevel="1" x14ac:dyDescent="0.2">
      <c r="A72" s="17"/>
      <c r="B72" s="9"/>
      <c r="C72" s="28"/>
      <c r="D72" s="29"/>
      <c r="E72" s="29"/>
      <c r="F72" s="29"/>
      <c r="G72" s="30"/>
      <c r="H72" s="10"/>
      <c r="I72" s="116"/>
      <c r="J72" s="117"/>
      <c r="K72" s="107"/>
      <c r="L72" s="11"/>
      <c r="M72" s="12"/>
      <c r="N72" s="15"/>
      <c r="O72" s="16"/>
      <c r="Q72" s="6"/>
    </row>
    <row r="73" spans="1:17" ht="39.6" hidden="1" customHeight="1" outlineLevel="1" x14ac:dyDescent="0.2">
      <c r="A73" s="17"/>
      <c r="B73" s="9"/>
      <c r="C73" s="28"/>
      <c r="D73" s="29"/>
      <c r="E73" s="29"/>
      <c r="F73" s="29"/>
      <c r="G73" s="30"/>
      <c r="H73" s="10"/>
      <c r="I73" s="116">
        <v>48</v>
      </c>
      <c r="J73" s="117"/>
      <c r="K73" s="107"/>
      <c r="L73" s="11"/>
      <c r="M73" s="12">
        <v>45297</v>
      </c>
      <c r="N73" s="15"/>
      <c r="O73" s="16"/>
      <c r="Q73" s="6"/>
    </row>
    <row r="74" spans="1:17" ht="39.6" hidden="1" customHeight="1" outlineLevel="1" x14ac:dyDescent="0.2">
      <c r="A74" s="17"/>
      <c r="B74" s="9"/>
      <c r="C74" s="28"/>
      <c r="D74" s="29"/>
      <c r="E74" s="29"/>
      <c r="F74" s="29"/>
      <c r="G74" s="30"/>
      <c r="H74" s="10"/>
      <c r="I74" s="116">
        <v>48</v>
      </c>
      <c r="J74" s="117"/>
      <c r="K74" s="107"/>
      <c r="L74" s="11"/>
      <c r="M74" s="12">
        <v>45295</v>
      </c>
      <c r="N74" s="15" t="s">
        <v>90</v>
      </c>
      <c r="O74" s="16"/>
      <c r="Q74" s="6"/>
    </row>
    <row r="75" spans="1:17" ht="39.6" customHeight="1" collapsed="1" x14ac:dyDescent="0.2">
      <c r="A75" s="17"/>
      <c r="B75" s="9">
        <v>9</v>
      </c>
      <c r="C75" s="148" t="s">
        <v>64</v>
      </c>
      <c r="D75" s="149"/>
      <c r="E75" s="149"/>
      <c r="F75" s="149"/>
      <c r="G75" s="150"/>
      <c r="H75" s="10">
        <v>876</v>
      </c>
      <c r="I75" s="11">
        <f>I66</f>
        <v>48</v>
      </c>
      <c r="J75" s="11">
        <f ca="1">J66</f>
        <v>624</v>
      </c>
      <c r="K75" s="106">
        <f ca="1">J75/H75</f>
        <v>0.71232876712328763</v>
      </c>
      <c r="L75" s="11">
        <f ca="1">H75-J75</f>
        <v>252</v>
      </c>
      <c r="M75" s="12">
        <v>44933</v>
      </c>
      <c r="N75" s="141"/>
      <c r="O75" s="142"/>
      <c r="Q75" s="6"/>
    </row>
    <row r="76" spans="1:17" ht="39.6" hidden="1" customHeight="1" outlineLevel="1" x14ac:dyDescent="0.2">
      <c r="A76" s="17"/>
      <c r="B76" s="9"/>
      <c r="C76" s="31"/>
      <c r="D76" s="32"/>
      <c r="E76" s="32"/>
      <c r="F76" s="32"/>
      <c r="G76" s="33"/>
      <c r="H76" s="10"/>
      <c r="I76" s="11"/>
      <c r="J76" s="11"/>
      <c r="K76" s="11"/>
      <c r="L76" s="11">
        <f>I76+J76</f>
        <v>0</v>
      </c>
      <c r="M76" s="12"/>
      <c r="N76" s="15"/>
      <c r="O76" s="16"/>
      <c r="Q76" s="6"/>
    </row>
    <row r="77" spans="1:17" ht="39.6" hidden="1" customHeight="1" outlineLevel="1" x14ac:dyDescent="0.2">
      <c r="A77" s="17"/>
      <c r="B77" s="9"/>
      <c r="C77" s="31"/>
      <c r="D77" s="32"/>
      <c r="E77" s="32"/>
      <c r="F77" s="32"/>
      <c r="G77" s="33"/>
      <c r="H77" s="10"/>
      <c r="I77" s="11"/>
      <c r="J77" s="11"/>
      <c r="K77" s="11"/>
      <c r="L77" s="11">
        <f t="shared" ref="L77:L84" si="6">I77+J77</f>
        <v>0</v>
      </c>
      <c r="M77" s="12"/>
      <c r="N77" s="15"/>
      <c r="O77" s="16"/>
      <c r="Q77" s="6"/>
    </row>
    <row r="78" spans="1:17" ht="39.6" hidden="1" customHeight="1" outlineLevel="1" x14ac:dyDescent="0.2">
      <c r="A78" s="17"/>
      <c r="B78" s="9"/>
      <c r="C78" s="31"/>
      <c r="D78" s="32"/>
      <c r="E78" s="32"/>
      <c r="F78" s="32"/>
      <c r="G78" s="33"/>
      <c r="H78" s="10"/>
      <c r="I78" s="11"/>
      <c r="J78" s="11"/>
      <c r="K78" s="11"/>
      <c r="L78" s="11">
        <f t="shared" si="6"/>
        <v>0</v>
      </c>
      <c r="M78" s="12"/>
      <c r="N78" s="15"/>
      <c r="O78" s="16"/>
      <c r="Q78" s="6"/>
    </row>
    <row r="79" spans="1:17" ht="39.6" hidden="1" customHeight="1" outlineLevel="1" x14ac:dyDescent="0.2">
      <c r="A79" s="17"/>
      <c r="B79" s="9"/>
      <c r="C79" s="31"/>
      <c r="D79" s="32"/>
      <c r="E79" s="32"/>
      <c r="F79" s="32"/>
      <c r="G79" s="33"/>
      <c r="H79" s="10"/>
      <c r="I79" s="11"/>
      <c r="J79" s="11"/>
      <c r="K79" s="11"/>
      <c r="L79" s="11">
        <f t="shared" si="6"/>
        <v>0</v>
      </c>
      <c r="M79" s="12"/>
      <c r="N79" s="15"/>
      <c r="O79" s="16"/>
      <c r="Q79" s="6"/>
    </row>
    <row r="80" spans="1:17" ht="39.6" hidden="1" customHeight="1" outlineLevel="1" x14ac:dyDescent="0.2">
      <c r="A80" s="17"/>
      <c r="B80" s="9"/>
      <c r="C80" s="31"/>
      <c r="D80" s="32"/>
      <c r="E80" s="32"/>
      <c r="F80" s="32"/>
      <c r="G80" s="33"/>
      <c r="H80" s="10"/>
      <c r="I80" s="11"/>
      <c r="J80" s="11"/>
      <c r="K80" s="11"/>
      <c r="L80" s="11">
        <f t="shared" si="6"/>
        <v>0</v>
      </c>
      <c r="M80" s="12"/>
      <c r="N80" s="15"/>
      <c r="O80" s="16"/>
      <c r="Q80" s="6"/>
    </row>
    <row r="81" spans="1:15" ht="39.6" hidden="1" customHeight="1" outlineLevel="1" x14ac:dyDescent="0.2">
      <c r="A81" s="17"/>
      <c r="B81" s="9"/>
      <c r="C81" s="143"/>
      <c r="D81" s="144"/>
      <c r="E81" s="144"/>
      <c r="F81" s="144"/>
      <c r="G81" s="145"/>
      <c r="H81" s="20"/>
      <c r="I81" s="18"/>
      <c r="J81" s="18"/>
      <c r="K81" s="18"/>
      <c r="L81" s="11">
        <f t="shared" si="6"/>
        <v>0</v>
      </c>
      <c r="M81" s="24"/>
      <c r="N81" s="146"/>
      <c r="O81" s="147"/>
    </row>
    <row r="82" spans="1:15" ht="39.6" hidden="1" customHeight="1" outlineLevel="1" x14ac:dyDescent="0.2">
      <c r="A82" s="17"/>
      <c r="B82" s="9"/>
      <c r="C82" s="21"/>
      <c r="D82" s="22"/>
      <c r="E82" s="22"/>
      <c r="F82" s="22"/>
      <c r="G82" s="23"/>
      <c r="H82" s="20"/>
      <c r="I82" s="18"/>
      <c r="J82" s="18"/>
      <c r="K82" s="18"/>
      <c r="L82" s="11">
        <f t="shared" si="6"/>
        <v>0</v>
      </c>
      <c r="M82" s="24"/>
      <c r="N82" s="15"/>
      <c r="O82" s="16"/>
    </row>
    <row r="83" spans="1:15" ht="39.6" hidden="1" customHeight="1" outlineLevel="1" x14ac:dyDescent="0.2">
      <c r="A83" s="17"/>
      <c r="B83" s="9"/>
      <c r="C83" s="21"/>
      <c r="D83" s="22"/>
      <c r="E83" s="22"/>
      <c r="F83" s="22"/>
      <c r="G83" s="23"/>
      <c r="H83" s="20"/>
      <c r="I83" s="18"/>
      <c r="J83" s="18"/>
      <c r="K83" s="18"/>
      <c r="L83" s="11">
        <f t="shared" si="6"/>
        <v>0</v>
      </c>
      <c r="M83" s="24"/>
      <c r="N83" s="15"/>
      <c r="O83" s="16"/>
    </row>
    <row r="84" spans="1:15" ht="39.6" hidden="1" customHeight="1" outlineLevel="1" x14ac:dyDescent="0.2">
      <c r="A84" s="17"/>
      <c r="B84" s="9"/>
      <c r="C84" s="21"/>
      <c r="D84" s="22"/>
      <c r="E84" s="22"/>
      <c r="F84" s="22"/>
      <c r="G84" s="23"/>
      <c r="H84" s="20"/>
      <c r="I84" s="18"/>
      <c r="J84" s="18"/>
      <c r="K84" s="18"/>
      <c r="L84" s="11">
        <f t="shared" si="6"/>
        <v>0</v>
      </c>
      <c r="M84" s="24"/>
      <c r="N84" s="15"/>
      <c r="O84" s="16"/>
    </row>
    <row r="85" spans="1:15" ht="19.5" collapsed="1" x14ac:dyDescent="0.2">
      <c r="B85" s="65"/>
      <c r="C85" s="66"/>
      <c r="D85" s="66"/>
      <c r="E85" s="66"/>
      <c r="F85" s="66"/>
      <c r="G85" s="66"/>
      <c r="H85" s="67"/>
      <c r="I85" s="68"/>
      <c r="J85" s="68"/>
      <c r="K85" s="68"/>
      <c r="L85" s="68"/>
      <c r="M85" s="69"/>
      <c r="N85" s="68"/>
      <c r="O85" s="70"/>
    </row>
    <row r="86" spans="1:15" ht="20.25" customHeight="1" x14ac:dyDescent="0.2">
      <c r="B86" s="135" t="s">
        <v>9</v>
      </c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7"/>
    </row>
    <row r="87" spans="1:15" ht="13.5" thickBot="1" x14ac:dyDescent="0.25">
      <c r="B87" s="71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60"/>
    </row>
  </sheetData>
  <mergeCells count="73">
    <mergeCell ref="N66:O66"/>
    <mergeCell ref="N37:O37"/>
    <mergeCell ref="B5:O5"/>
    <mergeCell ref="C6:G6"/>
    <mergeCell ref="N6:O6"/>
    <mergeCell ref="N29:O29"/>
    <mergeCell ref="C7:G7"/>
    <mergeCell ref="N7:O7"/>
    <mergeCell ref="C8:G8"/>
    <mergeCell ref="C9:G9"/>
    <mergeCell ref="C14:G14"/>
    <mergeCell ref="C15:G15"/>
    <mergeCell ref="C16:G16"/>
    <mergeCell ref="C17:G17"/>
    <mergeCell ref="C18:G18"/>
    <mergeCell ref="C10:G10"/>
    <mergeCell ref="C11:G11"/>
    <mergeCell ref="B4:O4"/>
    <mergeCell ref="B1:D3"/>
    <mergeCell ref="E1:M3"/>
    <mergeCell ref="N1:O1"/>
    <mergeCell ref="N2:O2"/>
    <mergeCell ref="N3:O3"/>
    <mergeCell ref="N42:O42"/>
    <mergeCell ref="C43:G43"/>
    <mergeCell ref="C26:G26"/>
    <mergeCell ref="C27:G27"/>
    <mergeCell ref="C28:G28"/>
    <mergeCell ref="C30:G30"/>
    <mergeCell ref="C31:G31"/>
    <mergeCell ref="C32:G32"/>
    <mergeCell ref="C33:G33"/>
    <mergeCell ref="C34:G34"/>
    <mergeCell ref="C35:G35"/>
    <mergeCell ref="C36:G36"/>
    <mergeCell ref="C38:G38"/>
    <mergeCell ref="C39:G39"/>
    <mergeCell ref="C29:G29"/>
    <mergeCell ref="C40:G40"/>
    <mergeCell ref="A44:A55"/>
    <mergeCell ref="C44:G44"/>
    <mergeCell ref="C54:G54"/>
    <mergeCell ref="C12:G12"/>
    <mergeCell ref="C13:G13"/>
    <mergeCell ref="C25:G25"/>
    <mergeCell ref="C20:G20"/>
    <mergeCell ref="C21:G21"/>
    <mergeCell ref="C22:G22"/>
    <mergeCell ref="C23:G23"/>
    <mergeCell ref="C24:G24"/>
    <mergeCell ref="C42:G42"/>
    <mergeCell ref="C41:G41"/>
    <mergeCell ref="N44:O44"/>
    <mergeCell ref="C50:G50"/>
    <mergeCell ref="N50:O50"/>
    <mergeCell ref="C51:G51"/>
    <mergeCell ref="N51:O51"/>
    <mergeCell ref="B86:O86"/>
    <mergeCell ref="C19:G19"/>
    <mergeCell ref="N19:O19"/>
    <mergeCell ref="C66:G66"/>
    <mergeCell ref="C75:G75"/>
    <mergeCell ref="N75:O75"/>
    <mergeCell ref="C81:G81"/>
    <mergeCell ref="N81:O81"/>
    <mergeCell ref="N54:O54"/>
    <mergeCell ref="C55:G55"/>
    <mergeCell ref="N55:O55"/>
    <mergeCell ref="C56:G56"/>
    <mergeCell ref="N56:O56"/>
    <mergeCell ref="C64:G64"/>
    <mergeCell ref="N64:O64"/>
    <mergeCell ref="C37:G37"/>
  </mergeCells>
  <conditionalFormatting sqref="B4">
    <cfRule type="cellIs" dxfId="8" priority="2" operator="equal">
      <formula>"FORMATO PARA XXXXXXXXXXXXXXXXXXXXXXX"</formula>
    </cfRule>
  </conditionalFormatting>
  <conditionalFormatting sqref="K7:K44 K55:K75">
    <cfRule type="colorScale" priority="1">
      <colorScale>
        <cfvo type="min"/>
        <cfvo type="max"/>
        <color rgb="FFFFEF9C"/>
        <color rgb="FF63BE7B"/>
      </colorScale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17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6133-0609-4004-A8AD-38881D9FB700}">
  <sheetPr codeName="Hoja4">
    <tabColor theme="3" tint="0.59999389629810485"/>
    <pageSetUpPr fitToPage="1"/>
  </sheetPr>
  <dimension ref="A1:BQ31"/>
  <sheetViews>
    <sheetView showGridLines="0" zoomScale="40" zoomScaleNormal="40" workbookViewId="0">
      <selection activeCell="U28" sqref="U28:V28"/>
    </sheetView>
  </sheetViews>
  <sheetFormatPr baseColWidth="10" defaultColWidth="11.42578125" defaultRowHeight="26.25" x14ac:dyDescent="0.4"/>
  <cols>
    <col min="1" max="1" width="4.28515625" style="61" customWidth="1"/>
    <col min="2" max="2" width="3.28515625" style="61" customWidth="1"/>
    <col min="3" max="3" width="10.85546875" style="62" customWidth="1"/>
    <col min="4" max="4" width="7.7109375" style="63" customWidth="1"/>
    <col min="5" max="5" width="10.85546875" style="62" customWidth="1"/>
    <col min="6" max="20" width="6.7109375" style="61" customWidth="1"/>
    <col min="21" max="21" width="8" style="61" bestFit="1" customWidth="1"/>
    <col min="22" max="65" width="6.7109375" style="61" customWidth="1"/>
    <col min="66" max="66" width="10.7109375" style="62" customWidth="1"/>
    <col min="67" max="67" width="5.42578125" style="63" customWidth="1"/>
    <col min="68" max="68" width="10.85546875" style="64" customWidth="1"/>
    <col min="69" max="69" width="4.28515625" style="61" customWidth="1"/>
    <col min="70" max="70" width="5.7109375" style="61" customWidth="1"/>
    <col min="71" max="16384" width="11.42578125" style="61"/>
  </cols>
  <sheetData>
    <row r="1" spans="2:69" ht="27" thickBot="1" x14ac:dyDescent="0.45"/>
    <row r="2" spans="2:69" s="1" customFormat="1" ht="46.5" customHeight="1" x14ac:dyDescent="0.6">
      <c r="B2" s="181" t="s">
        <v>92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34"/>
      <c r="BP2" s="35"/>
      <c r="BQ2" s="36"/>
    </row>
    <row r="3" spans="2:69" s="1" customFormat="1" ht="23.25" customHeight="1" x14ac:dyDescent="0.4"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9"/>
      <c r="BP3" s="38"/>
      <c r="BQ3" s="40"/>
    </row>
    <row r="4" spans="2:69" s="1" customFormat="1" ht="15" customHeight="1" thickBot="1" x14ac:dyDescent="0.45">
      <c r="B4" s="41"/>
      <c r="C4" s="38"/>
      <c r="D4" s="39"/>
      <c r="E4" s="38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38"/>
      <c r="BO4" s="39"/>
      <c r="BP4" s="38"/>
      <c r="BQ4" s="43"/>
    </row>
    <row r="5" spans="2:69" s="47" customFormat="1" ht="36" customHeight="1" thickBot="1" x14ac:dyDescent="0.35">
      <c r="B5" s="44"/>
      <c r="C5" s="183" t="s">
        <v>75</v>
      </c>
      <c r="D5" s="183"/>
      <c r="E5" s="188"/>
      <c r="F5" s="78" t="s">
        <v>67</v>
      </c>
      <c r="G5" s="79" t="s">
        <v>10</v>
      </c>
      <c r="H5" s="79" t="s">
        <v>11</v>
      </c>
      <c r="I5" s="79" t="s">
        <v>10</v>
      </c>
      <c r="J5" s="79" t="s">
        <v>11</v>
      </c>
      <c r="K5" s="79" t="s">
        <v>10</v>
      </c>
      <c r="L5" s="79" t="s">
        <v>11</v>
      </c>
      <c r="M5" s="79" t="s">
        <v>10</v>
      </c>
      <c r="N5" s="79" t="s">
        <v>11</v>
      </c>
      <c r="O5" s="79" t="s">
        <v>10</v>
      </c>
      <c r="P5" s="79" t="s">
        <v>11</v>
      </c>
      <c r="Q5" s="79" t="s">
        <v>10</v>
      </c>
      <c r="R5" s="79" t="s">
        <v>11</v>
      </c>
      <c r="S5" s="79" t="s">
        <v>10</v>
      </c>
      <c r="T5" s="79" t="s">
        <v>11</v>
      </c>
      <c r="U5" s="79" t="s">
        <v>10</v>
      </c>
      <c r="V5" s="79" t="s">
        <v>11</v>
      </c>
      <c r="W5" s="79" t="s">
        <v>10</v>
      </c>
      <c r="X5" s="79" t="s">
        <v>11</v>
      </c>
      <c r="Y5" s="79" t="s">
        <v>10</v>
      </c>
      <c r="Z5" s="79" t="s">
        <v>11</v>
      </c>
      <c r="AA5" s="79" t="s">
        <v>10</v>
      </c>
      <c r="AB5" s="79" t="s">
        <v>11</v>
      </c>
      <c r="AC5" s="79" t="s">
        <v>10</v>
      </c>
      <c r="AD5" s="79" t="s">
        <v>11</v>
      </c>
      <c r="AE5" s="79" t="s">
        <v>10</v>
      </c>
      <c r="AF5" s="79" t="s">
        <v>11</v>
      </c>
      <c r="AG5" s="79" t="s">
        <v>10</v>
      </c>
      <c r="AH5" s="79" t="s">
        <v>11</v>
      </c>
      <c r="AI5" s="80" t="s">
        <v>10</v>
      </c>
      <c r="AJ5" s="80" t="s">
        <v>10</v>
      </c>
      <c r="AK5" s="79" t="s">
        <v>11</v>
      </c>
      <c r="AL5" s="79" t="s">
        <v>10</v>
      </c>
      <c r="AM5" s="79" t="s">
        <v>11</v>
      </c>
      <c r="AN5" s="79" t="s">
        <v>10</v>
      </c>
      <c r="AO5" s="79" t="s">
        <v>11</v>
      </c>
      <c r="AP5" s="79" t="s">
        <v>10</v>
      </c>
      <c r="AQ5" s="79" t="s">
        <v>11</v>
      </c>
      <c r="AR5" s="79" t="s">
        <v>10</v>
      </c>
      <c r="AS5" s="79" t="s">
        <v>11</v>
      </c>
      <c r="AT5" s="79" t="s">
        <v>10</v>
      </c>
      <c r="AU5" s="79" t="s">
        <v>11</v>
      </c>
      <c r="AV5" s="79" t="s">
        <v>10</v>
      </c>
      <c r="AW5" s="79" t="s">
        <v>11</v>
      </c>
      <c r="AX5" s="79" t="s">
        <v>10</v>
      </c>
      <c r="AY5" s="79" t="s">
        <v>11</v>
      </c>
      <c r="AZ5" s="79" t="s">
        <v>10</v>
      </c>
      <c r="BA5" s="79" t="s">
        <v>11</v>
      </c>
      <c r="BB5" s="79" t="s">
        <v>10</v>
      </c>
      <c r="BC5" s="79" t="s">
        <v>11</v>
      </c>
      <c r="BD5" s="79" t="s">
        <v>10</v>
      </c>
      <c r="BE5" s="79" t="s">
        <v>11</v>
      </c>
      <c r="BF5" s="79" t="s">
        <v>10</v>
      </c>
      <c r="BG5" s="79" t="s">
        <v>11</v>
      </c>
      <c r="BH5" s="79" t="s">
        <v>10</v>
      </c>
      <c r="BI5" s="79" t="s">
        <v>11</v>
      </c>
      <c r="BJ5" s="79" t="s">
        <v>10</v>
      </c>
      <c r="BK5" s="79" t="s">
        <v>11</v>
      </c>
      <c r="BL5" s="79" t="s">
        <v>10</v>
      </c>
      <c r="BM5" s="81" t="s">
        <v>68</v>
      </c>
      <c r="BN5" s="189" t="s">
        <v>76</v>
      </c>
      <c r="BO5" s="183"/>
      <c r="BP5" s="183"/>
      <c r="BQ5" s="46"/>
    </row>
    <row r="6" spans="2:69" s="1" customFormat="1" ht="27" customHeight="1" x14ac:dyDescent="0.3">
      <c r="B6" s="184"/>
      <c r="C6" s="48" t="s">
        <v>12</v>
      </c>
      <c r="D6" s="49" t="s">
        <v>58</v>
      </c>
      <c r="E6" s="38"/>
      <c r="F6" s="85" t="s">
        <v>58</v>
      </c>
      <c r="G6" s="86" t="s">
        <v>58</v>
      </c>
      <c r="H6" s="86" t="s">
        <v>58</v>
      </c>
      <c r="I6" s="86" t="s">
        <v>58</v>
      </c>
      <c r="J6" s="86" t="s">
        <v>58</v>
      </c>
      <c r="K6" s="86" t="s">
        <v>58</v>
      </c>
      <c r="L6" s="86" t="s">
        <v>58</v>
      </c>
      <c r="M6" s="86" t="s">
        <v>58</v>
      </c>
      <c r="N6" s="86" t="s">
        <v>58</v>
      </c>
      <c r="O6" s="86" t="s">
        <v>58</v>
      </c>
      <c r="P6" s="86" t="s">
        <v>58</v>
      </c>
      <c r="Q6" s="86" t="s">
        <v>58</v>
      </c>
      <c r="R6" s="86" t="s">
        <v>58</v>
      </c>
      <c r="S6" s="86" t="s">
        <v>58</v>
      </c>
      <c r="T6" s="86" t="s">
        <v>58</v>
      </c>
      <c r="U6" s="86" t="s">
        <v>58</v>
      </c>
      <c r="V6" s="86" t="s">
        <v>58</v>
      </c>
      <c r="W6" s="86" t="s">
        <v>58</v>
      </c>
      <c r="X6" s="86" t="s">
        <v>58</v>
      </c>
      <c r="Y6" s="86" t="s">
        <v>58</v>
      </c>
      <c r="Z6" s="86" t="s">
        <v>58</v>
      </c>
      <c r="AA6" s="86" t="s">
        <v>58</v>
      </c>
      <c r="AB6" s="86" t="s">
        <v>58</v>
      </c>
      <c r="AC6" s="86" t="s">
        <v>58</v>
      </c>
      <c r="AD6" s="86" t="s">
        <v>58</v>
      </c>
      <c r="AE6" s="86" t="s">
        <v>58</v>
      </c>
      <c r="AF6" s="86" t="s">
        <v>58</v>
      </c>
      <c r="AG6" s="86" t="s">
        <v>58</v>
      </c>
      <c r="AH6" s="86" t="s">
        <v>58</v>
      </c>
      <c r="AI6" s="86" t="s">
        <v>58</v>
      </c>
      <c r="AJ6" s="86" t="s">
        <v>58</v>
      </c>
      <c r="AK6" s="86" t="s">
        <v>58</v>
      </c>
      <c r="AL6" s="86" t="s">
        <v>58</v>
      </c>
      <c r="AM6" s="86" t="s">
        <v>58</v>
      </c>
      <c r="AN6" s="86" t="s">
        <v>58</v>
      </c>
      <c r="AO6" s="86" t="s">
        <v>58</v>
      </c>
      <c r="AP6" s="86" t="s">
        <v>58</v>
      </c>
      <c r="AQ6" s="86" t="s">
        <v>58</v>
      </c>
      <c r="AR6" s="86" t="s">
        <v>58</v>
      </c>
      <c r="AS6" s="86" t="s">
        <v>58</v>
      </c>
      <c r="AT6" s="86" t="s">
        <v>58</v>
      </c>
      <c r="AU6" s="86" t="s">
        <v>58</v>
      </c>
      <c r="AV6" s="86" t="s">
        <v>58</v>
      </c>
      <c r="AW6" s="86" t="s">
        <v>58</v>
      </c>
      <c r="AX6" s="86" t="s">
        <v>58</v>
      </c>
      <c r="AY6" s="86" t="s">
        <v>58</v>
      </c>
      <c r="AZ6" s="86" t="s">
        <v>58</v>
      </c>
      <c r="BA6" s="86" t="s">
        <v>58</v>
      </c>
      <c r="BB6" s="86" t="s">
        <v>58</v>
      </c>
      <c r="BC6" s="86" t="s">
        <v>58</v>
      </c>
      <c r="BD6" s="86" t="s">
        <v>58</v>
      </c>
      <c r="BE6" s="86" t="s">
        <v>58</v>
      </c>
      <c r="BF6" s="86" t="s">
        <v>58</v>
      </c>
      <c r="BG6" s="86" t="s">
        <v>58</v>
      </c>
      <c r="BH6" s="86" t="s">
        <v>58</v>
      </c>
      <c r="BI6" s="86" t="s">
        <v>58</v>
      </c>
      <c r="BJ6" s="86" t="s">
        <v>58</v>
      </c>
      <c r="BK6" s="86" t="s">
        <v>58</v>
      </c>
      <c r="BL6" s="86" t="s">
        <v>58</v>
      </c>
      <c r="BM6" s="87" t="s">
        <v>58</v>
      </c>
      <c r="BN6" s="45"/>
      <c r="BO6" s="49" t="s">
        <v>58</v>
      </c>
      <c r="BP6" s="48" t="s">
        <v>14</v>
      </c>
      <c r="BQ6" s="185"/>
    </row>
    <row r="7" spans="2:69" s="1" customFormat="1" ht="27" customHeight="1" x14ac:dyDescent="0.2">
      <c r="B7" s="184"/>
      <c r="C7" s="48" t="s">
        <v>15</v>
      </c>
      <c r="D7" s="49" t="s">
        <v>58</v>
      </c>
      <c r="E7" s="50" t="s">
        <v>13</v>
      </c>
      <c r="F7" s="115" t="s">
        <v>58</v>
      </c>
      <c r="G7" s="115" t="s">
        <v>58</v>
      </c>
      <c r="H7" s="115" t="s">
        <v>58</v>
      </c>
      <c r="I7" s="115" t="s">
        <v>58</v>
      </c>
      <c r="J7" s="115" t="s">
        <v>58</v>
      </c>
      <c r="K7" s="115" t="s">
        <v>58</v>
      </c>
      <c r="L7" s="115" t="s">
        <v>58</v>
      </c>
      <c r="M7" s="115" t="s">
        <v>58</v>
      </c>
      <c r="N7" s="115" t="s">
        <v>58</v>
      </c>
      <c r="O7" s="115" t="s">
        <v>58</v>
      </c>
      <c r="P7" s="115" t="s">
        <v>58</v>
      </c>
      <c r="Q7" s="115" t="s">
        <v>58</v>
      </c>
      <c r="R7" s="115" t="s">
        <v>58</v>
      </c>
      <c r="S7" s="115" t="s">
        <v>58</v>
      </c>
      <c r="T7" s="115" t="s">
        <v>58</v>
      </c>
      <c r="U7" s="115" t="s">
        <v>58</v>
      </c>
      <c r="V7" s="115" t="s">
        <v>58</v>
      </c>
      <c r="W7" s="115" t="s">
        <v>58</v>
      </c>
      <c r="X7" s="115" t="s">
        <v>58</v>
      </c>
      <c r="Y7" s="115" t="s">
        <v>58</v>
      </c>
      <c r="Z7" s="115" t="s">
        <v>58</v>
      </c>
      <c r="AA7" s="115" t="s">
        <v>58</v>
      </c>
      <c r="AB7" s="115" t="s">
        <v>58</v>
      </c>
      <c r="AC7" s="115" t="s">
        <v>58</v>
      </c>
      <c r="AD7" s="108" t="s">
        <v>58</v>
      </c>
      <c r="AE7" s="108" t="s">
        <v>58</v>
      </c>
      <c r="AF7" s="108" t="s">
        <v>58</v>
      </c>
      <c r="AG7" s="108" t="s">
        <v>58</v>
      </c>
      <c r="AH7" s="108" t="s">
        <v>58</v>
      </c>
      <c r="AI7" s="108" t="s">
        <v>58</v>
      </c>
      <c r="AJ7" s="108" t="s">
        <v>58</v>
      </c>
      <c r="AK7" s="108" t="s">
        <v>58</v>
      </c>
      <c r="AL7" s="108" t="s">
        <v>58</v>
      </c>
      <c r="AM7" s="108" t="s">
        <v>58</v>
      </c>
      <c r="AN7" s="108" t="s">
        <v>58</v>
      </c>
      <c r="AO7" s="108" t="s">
        <v>58</v>
      </c>
      <c r="AP7" s="108" t="s">
        <v>58</v>
      </c>
      <c r="AQ7" s="108" t="s">
        <v>58</v>
      </c>
      <c r="AR7" s="108" t="s">
        <v>58</v>
      </c>
      <c r="AS7" s="108" t="s">
        <v>58</v>
      </c>
      <c r="AT7" s="108" t="s">
        <v>58</v>
      </c>
      <c r="AU7" s="108" t="s">
        <v>58</v>
      </c>
      <c r="AV7" s="108" t="s">
        <v>58</v>
      </c>
      <c r="AW7" s="108" t="s">
        <v>58</v>
      </c>
      <c r="AX7" s="108" t="s">
        <v>58</v>
      </c>
      <c r="AY7" s="108" t="s">
        <v>58</v>
      </c>
      <c r="AZ7" s="108" t="s">
        <v>58</v>
      </c>
      <c r="BA7" s="108" t="s">
        <v>58</v>
      </c>
      <c r="BB7" s="115" t="s">
        <v>58</v>
      </c>
      <c r="BC7" s="115" t="s">
        <v>58</v>
      </c>
      <c r="BD7" s="115" t="s">
        <v>58</v>
      </c>
      <c r="BE7" s="115" t="s">
        <v>58</v>
      </c>
      <c r="BF7" s="115" t="s">
        <v>58</v>
      </c>
      <c r="BG7" s="115" t="s">
        <v>58</v>
      </c>
      <c r="BH7" s="115" t="s">
        <v>58</v>
      </c>
      <c r="BI7" s="115" t="s">
        <v>58</v>
      </c>
      <c r="BJ7" s="115" t="s">
        <v>58</v>
      </c>
      <c r="BK7" s="115" t="s">
        <v>58</v>
      </c>
      <c r="BL7" s="115" t="s">
        <v>58</v>
      </c>
      <c r="BM7" s="115" t="s">
        <v>58</v>
      </c>
      <c r="BN7" s="76" t="s">
        <v>13</v>
      </c>
      <c r="BO7" s="49" t="s">
        <v>58</v>
      </c>
      <c r="BP7" s="48" t="s">
        <v>17</v>
      </c>
      <c r="BQ7" s="185"/>
    </row>
    <row r="8" spans="2:69" s="1" customFormat="1" ht="27" customHeight="1" x14ac:dyDescent="0.2">
      <c r="B8" s="184"/>
      <c r="C8" s="48" t="s">
        <v>18</v>
      </c>
      <c r="D8" s="49" t="s">
        <v>58</v>
      </c>
      <c r="E8" s="50" t="s">
        <v>16</v>
      </c>
      <c r="F8" s="115" t="s">
        <v>58</v>
      </c>
      <c r="G8" s="115" t="s">
        <v>58</v>
      </c>
      <c r="H8" s="115" t="s">
        <v>58</v>
      </c>
      <c r="I8" s="115" t="s">
        <v>58</v>
      </c>
      <c r="J8" s="115" t="s">
        <v>58</v>
      </c>
      <c r="K8" s="115" t="s">
        <v>58</v>
      </c>
      <c r="L8" s="115" t="s">
        <v>58</v>
      </c>
      <c r="M8" s="115" t="s">
        <v>58</v>
      </c>
      <c r="N8" s="115" t="s">
        <v>58</v>
      </c>
      <c r="O8" s="115" t="s">
        <v>58</v>
      </c>
      <c r="P8" s="115" t="s">
        <v>58</v>
      </c>
      <c r="Q8" s="115" t="s">
        <v>58</v>
      </c>
      <c r="R8" s="115" t="s">
        <v>58</v>
      </c>
      <c r="S8" s="115" t="s">
        <v>58</v>
      </c>
      <c r="T8" s="115" t="s">
        <v>58</v>
      </c>
      <c r="U8" s="115" t="s">
        <v>58</v>
      </c>
      <c r="V8" s="115" t="s">
        <v>58</v>
      </c>
      <c r="W8" s="115" t="s">
        <v>58</v>
      </c>
      <c r="X8" s="115" t="s">
        <v>58</v>
      </c>
      <c r="Y8" s="115" t="s">
        <v>58</v>
      </c>
      <c r="Z8" s="115" t="s">
        <v>58</v>
      </c>
      <c r="AA8" s="115" t="s">
        <v>58</v>
      </c>
      <c r="AB8" s="115" t="s">
        <v>58</v>
      </c>
      <c r="AC8" s="115" t="s">
        <v>58</v>
      </c>
      <c r="AD8" s="108" t="s">
        <v>58</v>
      </c>
      <c r="AE8" s="108" t="s">
        <v>58</v>
      </c>
      <c r="AF8" s="108" t="s">
        <v>58</v>
      </c>
      <c r="AG8" s="108" t="s">
        <v>58</v>
      </c>
      <c r="AH8" s="108" t="s">
        <v>58</v>
      </c>
      <c r="AI8" s="108" t="s">
        <v>58</v>
      </c>
      <c r="AJ8" s="108" t="s">
        <v>58</v>
      </c>
      <c r="AK8" s="108" t="s">
        <v>58</v>
      </c>
      <c r="AL8" s="108" t="s">
        <v>58</v>
      </c>
      <c r="AM8" s="108" t="s">
        <v>58</v>
      </c>
      <c r="AN8" s="108" t="s">
        <v>58</v>
      </c>
      <c r="AO8" s="108" t="s">
        <v>58</v>
      </c>
      <c r="AP8" s="108" t="s">
        <v>58</v>
      </c>
      <c r="AQ8" s="108" t="s">
        <v>58</v>
      </c>
      <c r="AR8" s="108" t="s">
        <v>58</v>
      </c>
      <c r="AS8" s="108" t="s">
        <v>58</v>
      </c>
      <c r="AT8" s="108" t="s">
        <v>58</v>
      </c>
      <c r="AU8" s="108" t="s">
        <v>58</v>
      </c>
      <c r="AV8" s="108" t="s">
        <v>58</v>
      </c>
      <c r="AW8" s="108" t="s">
        <v>58</v>
      </c>
      <c r="AX8" s="108" t="s">
        <v>58</v>
      </c>
      <c r="AY8" s="108" t="s">
        <v>58</v>
      </c>
      <c r="AZ8" s="108" t="s">
        <v>58</v>
      </c>
      <c r="BA8" s="108" t="s">
        <v>58</v>
      </c>
      <c r="BB8" s="115" t="s">
        <v>58</v>
      </c>
      <c r="BC8" s="115" t="s">
        <v>58</v>
      </c>
      <c r="BD8" s="115" t="s">
        <v>58</v>
      </c>
      <c r="BE8" s="115" t="s">
        <v>58</v>
      </c>
      <c r="BF8" s="115" t="s">
        <v>58</v>
      </c>
      <c r="BG8" s="115" t="s">
        <v>58</v>
      </c>
      <c r="BH8" s="115" t="s">
        <v>58</v>
      </c>
      <c r="BI8" s="115" t="s">
        <v>58</v>
      </c>
      <c r="BJ8" s="115" t="s">
        <v>58</v>
      </c>
      <c r="BK8" s="115" t="s">
        <v>58</v>
      </c>
      <c r="BL8" s="115" t="s">
        <v>58</v>
      </c>
      <c r="BM8" s="115" t="s">
        <v>58</v>
      </c>
      <c r="BN8" s="76" t="s">
        <v>16</v>
      </c>
      <c r="BO8" s="49" t="s">
        <v>58</v>
      </c>
      <c r="BP8" s="48" t="s">
        <v>20</v>
      </c>
      <c r="BQ8" s="185"/>
    </row>
    <row r="9" spans="2:69" s="1" customFormat="1" ht="27" customHeight="1" x14ac:dyDescent="0.2">
      <c r="B9" s="184"/>
      <c r="C9" s="48" t="s">
        <v>21</v>
      </c>
      <c r="D9" s="49" t="s">
        <v>58</v>
      </c>
      <c r="E9" s="50" t="s">
        <v>19</v>
      </c>
      <c r="F9" s="115" t="s">
        <v>58</v>
      </c>
      <c r="G9" s="115" t="s">
        <v>58</v>
      </c>
      <c r="H9" s="115" t="s">
        <v>58</v>
      </c>
      <c r="I9" s="115" t="s">
        <v>58</v>
      </c>
      <c r="J9" s="115" t="s">
        <v>58</v>
      </c>
      <c r="K9" s="115" t="s">
        <v>58</v>
      </c>
      <c r="L9" s="115" t="s">
        <v>58</v>
      </c>
      <c r="M9" s="115" t="s">
        <v>58</v>
      </c>
      <c r="N9" s="115" t="s">
        <v>58</v>
      </c>
      <c r="O9" s="115" t="s">
        <v>58</v>
      </c>
      <c r="P9" s="115" t="s">
        <v>58</v>
      </c>
      <c r="Q9" s="115" t="s">
        <v>58</v>
      </c>
      <c r="R9" s="115" t="s">
        <v>58</v>
      </c>
      <c r="S9" s="115" t="s">
        <v>58</v>
      </c>
      <c r="T9" s="115" t="s">
        <v>58</v>
      </c>
      <c r="U9" s="115" t="s">
        <v>58</v>
      </c>
      <c r="V9" s="115" t="s">
        <v>58</v>
      </c>
      <c r="W9" s="115" t="s">
        <v>58</v>
      </c>
      <c r="X9" s="115" t="s">
        <v>58</v>
      </c>
      <c r="Y9" s="115" t="s">
        <v>58</v>
      </c>
      <c r="Z9" s="115" t="s">
        <v>58</v>
      </c>
      <c r="AA9" s="115" t="s">
        <v>58</v>
      </c>
      <c r="AB9" s="115" t="s">
        <v>58</v>
      </c>
      <c r="AC9" s="115" t="s">
        <v>58</v>
      </c>
      <c r="AD9" s="108" t="s">
        <v>58</v>
      </c>
      <c r="AE9" s="108" t="s">
        <v>58</v>
      </c>
      <c r="AF9" s="108" t="s">
        <v>58</v>
      </c>
      <c r="AG9" s="108" t="s">
        <v>58</v>
      </c>
      <c r="AH9" s="108" t="s">
        <v>58</v>
      </c>
      <c r="AI9" s="108" t="s">
        <v>58</v>
      </c>
      <c r="AJ9" s="108" t="s">
        <v>58</v>
      </c>
      <c r="AK9" s="108" t="s">
        <v>58</v>
      </c>
      <c r="AL9" s="108" t="s">
        <v>58</v>
      </c>
      <c r="AM9" s="108" t="s">
        <v>58</v>
      </c>
      <c r="AN9" s="108" t="s">
        <v>58</v>
      </c>
      <c r="AO9" s="108" t="s">
        <v>58</v>
      </c>
      <c r="AP9" s="108" t="s">
        <v>58</v>
      </c>
      <c r="AQ9" s="108" t="s">
        <v>58</v>
      </c>
      <c r="AR9" s="108" t="s">
        <v>58</v>
      </c>
      <c r="AS9" s="108" t="s">
        <v>58</v>
      </c>
      <c r="AT9" s="108" t="s">
        <v>58</v>
      </c>
      <c r="AU9" s="108" t="s">
        <v>58</v>
      </c>
      <c r="AV9" s="108" t="s">
        <v>58</v>
      </c>
      <c r="AW9" s="108" t="s">
        <v>58</v>
      </c>
      <c r="AX9" s="108" t="s">
        <v>58</v>
      </c>
      <c r="AY9" s="108" t="s">
        <v>58</v>
      </c>
      <c r="AZ9" s="108" t="s">
        <v>58</v>
      </c>
      <c r="BA9" s="108" t="s">
        <v>58</v>
      </c>
      <c r="BB9" s="115" t="s">
        <v>58</v>
      </c>
      <c r="BC9" s="115" t="s">
        <v>58</v>
      </c>
      <c r="BD9" s="115" t="s">
        <v>58</v>
      </c>
      <c r="BE9" s="115" t="s">
        <v>58</v>
      </c>
      <c r="BF9" s="115" t="s">
        <v>58</v>
      </c>
      <c r="BG9" s="115" t="s">
        <v>58</v>
      </c>
      <c r="BH9" s="115" t="s">
        <v>58</v>
      </c>
      <c r="BI9" s="115" t="s">
        <v>58</v>
      </c>
      <c r="BJ9" s="115" t="s">
        <v>58</v>
      </c>
      <c r="BK9" s="115" t="s">
        <v>58</v>
      </c>
      <c r="BL9" s="115" t="s">
        <v>58</v>
      </c>
      <c r="BM9" s="115" t="s">
        <v>58</v>
      </c>
      <c r="BN9" s="76" t="s">
        <v>19</v>
      </c>
      <c r="BO9" s="49" t="s">
        <v>58</v>
      </c>
      <c r="BP9" s="48" t="s">
        <v>23</v>
      </c>
      <c r="BQ9" s="185"/>
    </row>
    <row r="10" spans="2:69" s="1" customFormat="1" ht="27" customHeight="1" x14ac:dyDescent="0.2">
      <c r="B10" s="184"/>
      <c r="C10" s="48" t="s">
        <v>24</v>
      </c>
      <c r="D10" s="49" t="s">
        <v>58</v>
      </c>
      <c r="E10" s="50" t="s">
        <v>22</v>
      </c>
      <c r="F10" s="115" t="s">
        <v>58</v>
      </c>
      <c r="G10" s="115" t="s">
        <v>58</v>
      </c>
      <c r="H10" s="115" t="s">
        <v>58</v>
      </c>
      <c r="I10" s="115" t="s">
        <v>58</v>
      </c>
      <c r="J10" s="115" t="s">
        <v>58</v>
      </c>
      <c r="K10" s="115" t="s">
        <v>58</v>
      </c>
      <c r="L10" s="115" t="s">
        <v>58</v>
      </c>
      <c r="M10" s="115" t="s">
        <v>58</v>
      </c>
      <c r="N10" s="115" t="s">
        <v>58</v>
      </c>
      <c r="O10" s="115" t="s">
        <v>58</v>
      </c>
      <c r="P10" s="115" t="s">
        <v>58</v>
      </c>
      <c r="Q10" s="115" t="s">
        <v>58</v>
      </c>
      <c r="R10" s="115" t="s">
        <v>58</v>
      </c>
      <c r="S10" s="115" t="s">
        <v>58</v>
      </c>
      <c r="T10" s="115" t="s">
        <v>58</v>
      </c>
      <c r="U10" s="115" t="s">
        <v>58</v>
      </c>
      <c r="V10" s="115" t="s">
        <v>58</v>
      </c>
      <c r="W10" s="115" t="s">
        <v>58</v>
      </c>
      <c r="X10" s="115" t="s">
        <v>58</v>
      </c>
      <c r="Y10" s="115" t="s">
        <v>58</v>
      </c>
      <c r="Z10" s="115" t="s">
        <v>58</v>
      </c>
      <c r="AA10" s="115" t="s">
        <v>58</v>
      </c>
      <c r="AB10" s="115" t="s">
        <v>58</v>
      </c>
      <c r="AC10" s="115" t="s">
        <v>58</v>
      </c>
      <c r="AD10" s="108" t="s">
        <v>58</v>
      </c>
      <c r="AE10" s="108" t="s">
        <v>58</v>
      </c>
      <c r="AF10" s="108" t="s">
        <v>58</v>
      </c>
      <c r="AG10" s="108" t="s">
        <v>58</v>
      </c>
      <c r="AH10" s="108" t="s">
        <v>58</v>
      </c>
      <c r="AI10" s="108" t="s">
        <v>58</v>
      </c>
      <c r="AJ10" s="108" t="s">
        <v>58</v>
      </c>
      <c r="AK10" s="108" t="s">
        <v>58</v>
      </c>
      <c r="AL10" s="108" t="s">
        <v>58</v>
      </c>
      <c r="AM10" s="108" t="s">
        <v>58</v>
      </c>
      <c r="AN10" s="108" t="s">
        <v>58</v>
      </c>
      <c r="AO10" s="108" t="s">
        <v>58</v>
      </c>
      <c r="AP10" s="108" t="s">
        <v>58</v>
      </c>
      <c r="AQ10" s="108" t="s">
        <v>58</v>
      </c>
      <c r="AR10" s="108" t="s">
        <v>58</v>
      </c>
      <c r="AS10" s="108" t="s">
        <v>58</v>
      </c>
      <c r="AT10" s="108" t="s">
        <v>58</v>
      </c>
      <c r="AU10" s="108" t="s">
        <v>58</v>
      </c>
      <c r="AV10" s="108" t="s">
        <v>58</v>
      </c>
      <c r="AW10" s="108" t="s">
        <v>58</v>
      </c>
      <c r="AX10" s="108" t="s">
        <v>58</v>
      </c>
      <c r="AY10" s="108" t="s">
        <v>58</v>
      </c>
      <c r="AZ10" s="108" t="s">
        <v>58</v>
      </c>
      <c r="BA10" s="108" t="s">
        <v>58</v>
      </c>
      <c r="BB10" s="115" t="s">
        <v>58</v>
      </c>
      <c r="BC10" s="115" t="s">
        <v>58</v>
      </c>
      <c r="BD10" s="115" t="s">
        <v>58</v>
      </c>
      <c r="BE10" s="115" t="s">
        <v>58</v>
      </c>
      <c r="BF10" s="115" t="s">
        <v>58</v>
      </c>
      <c r="BG10" s="115" t="s">
        <v>58</v>
      </c>
      <c r="BH10" s="115" t="s">
        <v>58</v>
      </c>
      <c r="BI10" s="115" t="s">
        <v>58</v>
      </c>
      <c r="BJ10" s="115" t="s">
        <v>58</v>
      </c>
      <c r="BK10" s="115" t="s">
        <v>58</v>
      </c>
      <c r="BL10" s="115" t="s">
        <v>58</v>
      </c>
      <c r="BM10" s="115" t="s">
        <v>58</v>
      </c>
      <c r="BN10" s="76" t="s">
        <v>22</v>
      </c>
      <c r="BO10" s="49" t="s">
        <v>58</v>
      </c>
      <c r="BP10" s="48" t="s">
        <v>26</v>
      </c>
      <c r="BQ10" s="185"/>
    </row>
    <row r="11" spans="2:69" s="1" customFormat="1" ht="27" customHeight="1" x14ac:dyDescent="0.2">
      <c r="B11" s="184"/>
      <c r="C11" s="48" t="s">
        <v>27</v>
      </c>
      <c r="D11" s="49" t="s">
        <v>58</v>
      </c>
      <c r="E11" s="50" t="s">
        <v>25</v>
      </c>
      <c r="F11" s="115" t="s">
        <v>58</v>
      </c>
      <c r="G11" s="115" t="s">
        <v>58</v>
      </c>
      <c r="H11" s="115" t="s">
        <v>58</v>
      </c>
      <c r="I11" s="115" t="s">
        <v>58</v>
      </c>
      <c r="J11" s="115" t="s">
        <v>58</v>
      </c>
      <c r="K11" s="115" t="s">
        <v>58</v>
      </c>
      <c r="L11" s="115" t="s">
        <v>58</v>
      </c>
      <c r="M11" s="115" t="s">
        <v>58</v>
      </c>
      <c r="N11" s="115" t="s">
        <v>58</v>
      </c>
      <c r="O11" s="115" t="s">
        <v>58</v>
      </c>
      <c r="P11" s="115" t="s">
        <v>58</v>
      </c>
      <c r="Q11" s="115" t="s">
        <v>58</v>
      </c>
      <c r="R11" s="115" t="s">
        <v>58</v>
      </c>
      <c r="S11" s="115" t="s">
        <v>58</v>
      </c>
      <c r="T11" s="115" t="s">
        <v>58</v>
      </c>
      <c r="U11" s="115" t="s">
        <v>58</v>
      </c>
      <c r="V11" s="115" t="s">
        <v>58</v>
      </c>
      <c r="W11" s="115" t="s">
        <v>58</v>
      </c>
      <c r="X11" s="115" t="s">
        <v>58</v>
      </c>
      <c r="Y11" s="115" t="s">
        <v>58</v>
      </c>
      <c r="Z11" s="115" t="s">
        <v>58</v>
      </c>
      <c r="AA11" s="115" t="s">
        <v>58</v>
      </c>
      <c r="AB11" s="115" t="s">
        <v>58</v>
      </c>
      <c r="AC11" s="115" t="s">
        <v>58</v>
      </c>
      <c r="AD11" s="115" t="s">
        <v>58</v>
      </c>
      <c r="AE11" s="115" t="s">
        <v>58</v>
      </c>
      <c r="AF11" s="115" t="s">
        <v>58</v>
      </c>
      <c r="AG11" s="115" t="s">
        <v>58</v>
      </c>
      <c r="AH11" s="115" t="s">
        <v>58</v>
      </c>
      <c r="AI11" s="115" t="s">
        <v>58</v>
      </c>
      <c r="AJ11" s="115" t="s">
        <v>58</v>
      </c>
      <c r="AK11" s="115" t="s">
        <v>58</v>
      </c>
      <c r="AL11" s="115" t="s">
        <v>58</v>
      </c>
      <c r="AM11" s="115" t="s">
        <v>58</v>
      </c>
      <c r="AN11" s="115" t="s">
        <v>58</v>
      </c>
      <c r="AO11" s="115" t="s">
        <v>58</v>
      </c>
      <c r="AP11" s="115" t="s">
        <v>58</v>
      </c>
      <c r="AQ11" s="115" t="s">
        <v>58</v>
      </c>
      <c r="AR11" s="115" t="s">
        <v>58</v>
      </c>
      <c r="AS11" s="115" t="s">
        <v>58</v>
      </c>
      <c r="AT11" s="115" t="s">
        <v>58</v>
      </c>
      <c r="AU11" s="115" t="s">
        <v>58</v>
      </c>
      <c r="AV11" s="115" t="s">
        <v>58</v>
      </c>
      <c r="AW11" s="115" t="s">
        <v>58</v>
      </c>
      <c r="AX11" s="115" t="s">
        <v>58</v>
      </c>
      <c r="AY11" s="115" t="s">
        <v>58</v>
      </c>
      <c r="AZ11" s="115" t="s">
        <v>58</v>
      </c>
      <c r="BA11" s="115" t="s">
        <v>58</v>
      </c>
      <c r="BB11" s="115" t="s">
        <v>58</v>
      </c>
      <c r="BC11" s="115" t="s">
        <v>58</v>
      </c>
      <c r="BD11" s="115" t="s">
        <v>58</v>
      </c>
      <c r="BE11" s="115" t="s">
        <v>58</v>
      </c>
      <c r="BF11" s="115" t="s">
        <v>58</v>
      </c>
      <c r="BG11" s="115" t="s">
        <v>58</v>
      </c>
      <c r="BH11" s="115" t="s">
        <v>58</v>
      </c>
      <c r="BI11" s="115" t="s">
        <v>58</v>
      </c>
      <c r="BJ11" s="115" t="s">
        <v>58</v>
      </c>
      <c r="BK11" s="115" t="s">
        <v>58</v>
      </c>
      <c r="BL11" s="115" t="s">
        <v>58</v>
      </c>
      <c r="BM11" s="115" t="s">
        <v>58</v>
      </c>
      <c r="BN11" s="76" t="s">
        <v>25</v>
      </c>
      <c r="BO11" s="49" t="s">
        <v>58</v>
      </c>
      <c r="BP11" s="48" t="s">
        <v>29</v>
      </c>
      <c r="BQ11" s="185"/>
    </row>
    <row r="12" spans="2:69" s="1" customFormat="1" ht="27" customHeight="1" x14ac:dyDescent="0.2">
      <c r="B12" s="184"/>
      <c r="C12" s="48" t="s">
        <v>30</v>
      </c>
      <c r="D12" s="49" t="s">
        <v>58</v>
      </c>
      <c r="E12" s="50" t="s">
        <v>28</v>
      </c>
      <c r="F12" s="115" t="s">
        <v>58</v>
      </c>
      <c r="G12" s="115" t="s">
        <v>58</v>
      </c>
      <c r="H12" s="115" t="s">
        <v>58</v>
      </c>
      <c r="I12" s="115" t="s">
        <v>58</v>
      </c>
      <c r="J12" s="115" t="s">
        <v>58</v>
      </c>
      <c r="K12" s="115" t="s">
        <v>58</v>
      </c>
      <c r="L12" s="115" t="s">
        <v>58</v>
      </c>
      <c r="M12" s="115" t="s">
        <v>58</v>
      </c>
      <c r="N12" s="115" t="s">
        <v>58</v>
      </c>
      <c r="O12" s="115" t="s">
        <v>58</v>
      </c>
      <c r="P12" s="115" t="s">
        <v>58</v>
      </c>
      <c r="Q12" s="115" t="s">
        <v>58</v>
      </c>
      <c r="R12" s="115" t="s">
        <v>58</v>
      </c>
      <c r="S12" s="115" t="s">
        <v>58</v>
      </c>
      <c r="T12" s="115" t="s">
        <v>58</v>
      </c>
      <c r="U12" s="115" t="s">
        <v>58</v>
      </c>
      <c r="V12" s="115" t="s">
        <v>58</v>
      </c>
      <c r="W12" s="115" t="s">
        <v>58</v>
      </c>
      <c r="X12" s="115" t="s">
        <v>58</v>
      </c>
      <c r="Y12" s="115" t="s">
        <v>58</v>
      </c>
      <c r="Z12" s="115" t="s">
        <v>58</v>
      </c>
      <c r="AA12" s="115" t="s">
        <v>58</v>
      </c>
      <c r="AB12" s="115" t="s">
        <v>58</v>
      </c>
      <c r="AC12" s="115" t="s">
        <v>58</v>
      </c>
      <c r="AD12" s="115" t="s">
        <v>58</v>
      </c>
      <c r="AE12" s="115" t="s">
        <v>58</v>
      </c>
      <c r="AF12" s="115" t="s">
        <v>58</v>
      </c>
      <c r="AG12" s="115" t="s">
        <v>58</v>
      </c>
      <c r="AH12" s="115" t="s">
        <v>58</v>
      </c>
      <c r="AI12" s="115" t="s">
        <v>58</v>
      </c>
      <c r="AJ12" s="115" t="s">
        <v>58</v>
      </c>
      <c r="AK12" s="115" t="s">
        <v>58</v>
      </c>
      <c r="AL12" s="115" t="s">
        <v>58</v>
      </c>
      <c r="AM12" s="115" t="s">
        <v>58</v>
      </c>
      <c r="AN12" s="115" t="s">
        <v>58</v>
      </c>
      <c r="AO12" s="115" t="s">
        <v>58</v>
      </c>
      <c r="AP12" s="115" t="s">
        <v>58</v>
      </c>
      <c r="AQ12" s="115" t="s">
        <v>58</v>
      </c>
      <c r="AR12" s="115" t="s">
        <v>58</v>
      </c>
      <c r="AS12" s="115" t="s">
        <v>58</v>
      </c>
      <c r="AT12" s="115" t="s">
        <v>58</v>
      </c>
      <c r="AU12" s="115" t="s">
        <v>58</v>
      </c>
      <c r="AV12" s="115" t="s">
        <v>58</v>
      </c>
      <c r="AW12" s="115" t="s">
        <v>58</v>
      </c>
      <c r="AX12" s="115" t="s">
        <v>58</v>
      </c>
      <c r="AY12" s="115" t="s">
        <v>58</v>
      </c>
      <c r="AZ12" s="115" t="s">
        <v>58</v>
      </c>
      <c r="BA12" s="115" t="s">
        <v>58</v>
      </c>
      <c r="BB12" s="115" t="s">
        <v>58</v>
      </c>
      <c r="BC12" s="115" t="s">
        <v>58</v>
      </c>
      <c r="BD12" s="115" t="s">
        <v>58</v>
      </c>
      <c r="BE12" s="115" t="s">
        <v>58</v>
      </c>
      <c r="BF12" s="115" t="s">
        <v>58</v>
      </c>
      <c r="BG12" s="115" t="s">
        <v>58</v>
      </c>
      <c r="BH12" s="115" t="s">
        <v>58</v>
      </c>
      <c r="BI12" s="115" t="s">
        <v>58</v>
      </c>
      <c r="BJ12" s="115" t="s">
        <v>58</v>
      </c>
      <c r="BK12" s="115" t="s">
        <v>58</v>
      </c>
      <c r="BL12" s="115" t="s">
        <v>58</v>
      </c>
      <c r="BM12" s="115" t="s">
        <v>58</v>
      </c>
      <c r="BN12" s="76" t="s">
        <v>28</v>
      </c>
      <c r="BO12" s="49" t="s">
        <v>58</v>
      </c>
      <c r="BP12" s="48" t="s">
        <v>32</v>
      </c>
      <c r="BQ12" s="185"/>
    </row>
    <row r="13" spans="2:69" s="1" customFormat="1" ht="27" customHeight="1" x14ac:dyDescent="0.2">
      <c r="B13" s="184"/>
      <c r="C13" s="48" t="s">
        <v>33</v>
      </c>
      <c r="D13" s="49" t="s">
        <v>58</v>
      </c>
      <c r="E13" s="50" t="s">
        <v>31</v>
      </c>
      <c r="F13" s="115" t="s">
        <v>58</v>
      </c>
      <c r="G13" s="115" t="s">
        <v>58</v>
      </c>
      <c r="H13" s="115" t="s">
        <v>58</v>
      </c>
      <c r="I13" s="115" t="s">
        <v>58</v>
      </c>
      <c r="J13" s="115" t="s">
        <v>58</v>
      </c>
      <c r="K13" s="115" t="s">
        <v>58</v>
      </c>
      <c r="L13" s="115" t="s">
        <v>58</v>
      </c>
      <c r="M13" s="115" t="s">
        <v>58</v>
      </c>
      <c r="N13" s="115" t="s">
        <v>58</v>
      </c>
      <c r="O13" s="115" t="s">
        <v>58</v>
      </c>
      <c r="P13" s="115" t="s">
        <v>58</v>
      </c>
      <c r="Q13" s="115" t="s">
        <v>58</v>
      </c>
      <c r="R13" s="115" t="s">
        <v>58</v>
      </c>
      <c r="S13" s="115" t="s">
        <v>58</v>
      </c>
      <c r="T13" s="115" t="s">
        <v>58</v>
      </c>
      <c r="U13" s="115" t="s">
        <v>58</v>
      </c>
      <c r="V13" s="115" t="s">
        <v>58</v>
      </c>
      <c r="W13" s="115" t="s">
        <v>58</v>
      </c>
      <c r="X13" s="115" t="s">
        <v>58</v>
      </c>
      <c r="Y13" s="115" t="s">
        <v>58</v>
      </c>
      <c r="Z13" s="115" t="s">
        <v>58</v>
      </c>
      <c r="AA13" s="115" t="s">
        <v>58</v>
      </c>
      <c r="AB13" s="115" t="s">
        <v>58</v>
      </c>
      <c r="AC13" s="115" t="s">
        <v>58</v>
      </c>
      <c r="AD13" s="115" t="s">
        <v>58</v>
      </c>
      <c r="AE13" s="115" t="s">
        <v>58</v>
      </c>
      <c r="AF13" s="115" t="s">
        <v>58</v>
      </c>
      <c r="AG13" s="115" t="s">
        <v>58</v>
      </c>
      <c r="AH13" s="115" t="s">
        <v>58</v>
      </c>
      <c r="AI13" s="115" t="s">
        <v>58</v>
      </c>
      <c r="AJ13" s="115" t="s">
        <v>58</v>
      </c>
      <c r="AK13" s="115" t="s">
        <v>58</v>
      </c>
      <c r="AL13" s="115" t="s">
        <v>58</v>
      </c>
      <c r="AM13" s="115" t="s">
        <v>58</v>
      </c>
      <c r="AN13" s="115" t="s">
        <v>58</v>
      </c>
      <c r="AO13" s="115" t="s">
        <v>58</v>
      </c>
      <c r="AP13" s="115" t="s">
        <v>58</v>
      </c>
      <c r="AQ13" s="115" t="s">
        <v>58</v>
      </c>
      <c r="AR13" s="115" t="s">
        <v>58</v>
      </c>
      <c r="AS13" s="115" t="s">
        <v>58</v>
      </c>
      <c r="AT13" s="115" t="s">
        <v>58</v>
      </c>
      <c r="AU13" s="115" t="s">
        <v>58</v>
      </c>
      <c r="AV13" s="115" t="s">
        <v>58</v>
      </c>
      <c r="AW13" s="115" t="s">
        <v>58</v>
      </c>
      <c r="AX13" s="115" t="s">
        <v>58</v>
      </c>
      <c r="AY13" s="115" t="s">
        <v>58</v>
      </c>
      <c r="AZ13" s="115" t="s">
        <v>58</v>
      </c>
      <c r="BA13" s="115" t="s">
        <v>58</v>
      </c>
      <c r="BB13" s="115" t="s">
        <v>58</v>
      </c>
      <c r="BC13" s="115" t="s">
        <v>58</v>
      </c>
      <c r="BD13" s="115" t="s">
        <v>58</v>
      </c>
      <c r="BE13" s="115" t="s">
        <v>58</v>
      </c>
      <c r="BF13" s="115" t="s">
        <v>58</v>
      </c>
      <c r="BG13" s="115" t="s">
        <v>58</v>
      </c>
      <c r="BH13" s="115" t="s">
        <v>58</v>
      </c>
      <c r="BI13" s="115" t="s">
        <v>58</v>
      </c>
      <c r="BJ13" s="115" t="s">
        <v>58</v>
      </c>
      <c r="BK13" s="115" t="s">
        <v>58</v>
      </c>
      <c r="BL13" s="115" t="s">
        <v>58</v>
      </c>
      <c r="BM13" s="115" t="s">
        <v>58</v>
      </c>
      <c r="BN13" s="76" t="s">
        <v>31</v>
      </c>
      <c r="BO13" s="49" t="s">
        <v>58</v>
      </c>
      <c r="BP13" s="48" t="s">
        <v>35</v>
      </c>
      <c r="BQ13" s="185"/>
    </row>
    <row r="14" spans="2:69" s="1" customFormat="1" ht="25.5" x14ac:dyDescent="0.2">
      <c r="B14" s="184"/>
      <c r="C14" s="48" t="s">
        <v>36</v>
      </c>
      <c r="D14" s="49" t="s">
        <v>58</v>
      </c>
      <c r="E14" s="50" t="s">
        <v>34</v>
      </c>
      <c r="F14" s="115" t="s">
        <v>58</v>
      </c>
      <c r="G14" s="115" t="s">
        <v>58</v>
      </c>
      <c r="H14" s="115" t="s">
        <v>58</v>
      </c>
      <c r="I14" s="115" t="s">
        <v>58</v>
      </c>
      <c r="J14" s="115" t="s">
        <v>58</v>
      </c>
      <c r="K14" s="115" t="s">
        <v>58</v>
      </c>
      <c r="L14" s="115" t="s">
        <v>58</v>
      </c>
      <c r="M14" s="115" t="s">
        <v>58</v>
      </c>
      <c r="N14" s="115" t="s">
        <v>58</v>
      </c>
      <c r="O14" s="115" t="s">
        <v>58</v>
      </c>
      <c r="P14" s="115" t="s">
        <v>58</v>
      </c>
      <c r="Q14" s="115" t="s">
        <v>58</v>
      </c>
      <c r="R14" s="115" t="s">
        <v>58</v>
      </c>
      <c r="S14" s="115" t="s">
        <v>58</v>
      </c>
      <c r="T14" s="115" t="s">
        <v>58</v>
      </c>
      <c r="U14" s="115" t="s">
        <v>58</v>
      </c>
      <c r="V14" s="115" t="s">
        <v>58</v>
      </c>
      <c r="W14" s="115" t="s">
        <v>58</v>
      </c>
      <c r="X14" s="115" t="s">
        <v>58</v>
      </c>
      <c r="Y14" s="115" t="s">
        <v>58</v>
      </c>
      <c r="Z14" s="115" t="s">
        <v>58</v>
      </c>
      <c r="AA14" s="115" t="s">
        <v>58</v>
      </c>
      <c r="AB14" s="115" t="s">
        <v>58</v>
      </c>
      <c r="AC14" s="115" t="s">
        <v>58</v>
      </c>
      <c r="AD14" s="115" t="s">
        <v>58</v>
      </c>
      <c r="AE14" s="115" t="s">
        <v>58</v>
      </c>
      <c r="AF14" s="115" t="s">
        <v>58</v>
      </c>
      <c r="AG14" s="115" t="s">
        <v>58</v>
      </c>
      <c r="AH14" s="115" t="s">
        <v>58</v>
      </c>
      <c r="AI14" s="115" t="s">
        <v>58</v>
      </c>
      <c r="AJ14" s="115" t="s">
        <v>58</v>
      </c>
      <c r="AK14" s="115" t="s">
        <v>58</v>
      </c>
      <c r="AL14" s="115" t="s">
        <v>58</v>
      </c>
      <c r="AM14" s="115" t="s">
        <v>58</v>
      </c>
      <c r="AN14" s="115" t="s">
        <v>58</v>
      </c>
      <c r="AO14" s="115" t="s">
        <v>58</v>
      </c>
      <c r="AP14" s="115" t="s">
        <v>58</v>
      </c>
      <c r="AQ14" s="115" t="s">
        <v>58</v>
      </c>
      <c r="AR14" s="115" t="s">
        <v>58</v>
      </c>
      <c r="AS14" s="115" t="s">
        <v>58</v>
      </c>
      <c r="AT14" s="115" t="s">
        <v>58</v>
      </c>
      <c r="AU14" s="115" t="s">
        <v>58</v>
      </c>
      <c r="AV14" s="115" t="s">
        <v>58</v>
      </c>
      <c r="AW14" s="115" t="s">
        <v>58</v>
      </c>
      <c r="AX14" s="115" t="s">
        <v>58</v>
      </c>
      <c r="AY14" s="115" t="s">
        <v>58</v>
      </c>
      <c r="AZ14" s="115" t="s">
        <v>58</v>
      </c>
      <c r="BA14" s="115" t="s">
        <v>58</v>
      </c>
      <c r="BB14" s="115" t="s">
        <v>58</v>
      </c>
      <c r="BC14" s="115" t="s">
        <v>58</v>
      </c>
      <c r="BD14" s="115" t="s">
        <v>58</v>
      </c>
      <c r="BE14" s="115" t="s">
        <v>58</v>
      </c>
      <c r="BF14" s="115" t="s">
        <v>58</v>
      </c>
      <c r="BG14" s="115" t="s">
        <v>58</v>
      </c>
      <c r="BH14" s="115" t="s">
        <v>58</v>
      </c>
      <c r="BI14" s="115" t="s">
        <v>58</v>
      </c>
      <c r="BJ14" s="115" t="s">
        <v>58</v>
      </c>
      <c r="BK14" s="115" t="s">
        <v>58</v>
      </c>
      <c r="BL14" s="115" t="s">
        <v>58</v>
      </c>
      <c r="BM14" s="115" t="s">
        <v>58</v>
      </c>
      <c r="BN14" s="76" t="s">
        <v>34</v>
      </c>
      <c r="BO14" s="49" t="s">
        <v>58</v>
      </c>
      <c r="BP14" s="48" t="s">
        <v>38</v>
      </c>
      <c r="BQ14" s="185"/>
    </row>
    <row r="15" spans="2:69" s="1" customFormat="1" ht="20.25" x14ac:dyDescent="0.2">
      <c r="B15" s="184"/>
      <c r="C15" s="48" t="s">
        <v>39</v>
      </c>
      <c r="D15" s="108" t="s">
        <v>58</v>
      </c>
      <c r="E15" s="50" t="s">
        <v>37</v>
      </c>
      <c r="F15" s="115" t="s">
        <v>58</v>
      </c>
      <c r="G15" s="115" t="s">
        <v>58</v>
      </c>
      <c r="H15" s="115" t="s">
        <v>58</v>
      </c>
      <c r="I15" s="115" t="s">
        <v>58</v>
      </c>
      <c r="J15" s="115" t="s">
        <v>58</v>
      </c>
      <c r="K15" s="115" t="s">
        <v>58</v>
      </c>
      <c r="L15" s="115" t="s">
        <v>58</v>
      </c>
      <c r="M15" s="115" t="s">
        <v>58</v>
      </c>
      <c r="N15" s="115" t="s">
        <v>58</v>
      </c>
      <c r="O15" s="115" t="s">
        <v>58</v>
      </c>
      <c r="P15" s="115" t="s">
        <v>58</v>
      </c>
      <c r="Q15" s="115" t="s">
        <v>58</v>
      </c>
      <c r="R15" s="115" t="s">
        <v>58</v>
      </c>
      <c r="S15" s="115" t="s">
        <v>58</v>
      </c>
      <c r="T15" s="115" t="s">
        <v>58</v>
      </c>
      <c r="U15" s="115" t="s">
        <v>58</v>
      </c>
      <c r="V15" s="115" t="s">
        <v>58</v>
      </c>
      <c r="W15" s="115" t="s">
        <v>58</v>
      </c>
      <c r="X15" s="115" t="s">
        <v>58</v>
      </c>
      <c r="Y15" s="115" t="s">
        <v>58</v>
      </c>
      <c r="Z15" s="115" t="s">
        <v>58</v>
      </c>
      <c r="AA15" s="115" t="s">
        <v>58</v>
      </c>
      <c r="AB15" s="115" t="s">
        <v>58</v>
      </c>
      <c r="AC15" s="115" t="s">
        <v>58</v>
      </c>
      <c r="AD15" s="115" t="s">
        <v>58</v>
      </c>
      <c r="AE15" s="115" t="s">
        <v>58</v>
      </c>
      <c r="AF15" s="115" t="s">
        <v>58</v>
      </c>
      <c r="AG15" s="115" t="s">
        <v>58</v>
      </c>
      <c r="AH15" s="115" t="s">
        <v>58</v>
      </c>
      <c r="AI15" s="115" t="s">
        <v>58</v>
      </c>
      <c r="AJ15" s="115" t="s">
        <v>58</v>
      </c>
      <c r="AK15" s="115" t="s">
        <v>58</v>
      </c>
      <c r="AL15" s="115" t="s">
        <v>58</v>
      </c>
      <c r="AM15" s="115" t="s">
        <v>58</v>
      </c>
      <c r="AN15" s="115" t="s">
        <v>58</v>
      </c>
      <c r="AO15" s="115" t="s">
        <v>58</v>
      </c>
      <c r="AP15" s="115" t="s">
        <v>58</v>
      </c>
      <c r="AQ15" s="115" t="s">
        <v>58</v>
      </c>
      <c r="AR15" s="115" t="s">
        <v>58</v>
      </c>
      <c r="AS15" s="115" t="s">
        <v>58</v>
      </c>
      <c r="AT15" s="115" t="s">
        <v>58</v>
      </c>
      <c r="AU15" s="115" t="s">
        <v>58</v>
      </c>
      <c r="AV15" s="115" t="s">
        <v>58</v>
      </c>
      <c r="AW15" s="115" t="s">
        <v>58</v>
      </c>
      <c r="AX15" s="115" t="s">
        <v>58</v>
      </c>
      <c r="AY15" s="115" t="s">
        <v>58</v>
      </c>
      <c r="AZ15" s="115" t="s">
        <v>58</v>
      </c>
      <c r="BA15" s="115" t="s">
        <v>58</v>
      </c>
      <c r="BB15" s="115" t="s">
        <v>58</v>
      </c>
      <c r="BC15" s="115" t="s">
        <v>58</v>
      </c>
      <c r="BD15" s="115" t="s">
        <v>58</v>
      </c>
      <c r="BE15" s="115" t="s">
        <v>58</v>
      </c>
      <c r="BF15" s="115" t="s">
        <v>58</v>
      </c>
      <c r="BG15" s="115" t="s">
        <v>58</v>
      </c>
      <c r="BH15" s="115" t="s">
        <v>58</v>
      </c>
      <c r="BI15" s="115" t="s">
        <v>58</v>
      </c>
      <c r="BJ15" s="115" t="s">
        <v>58</v>
      </c>
      <c r="BK15" s="115" t="s">
        <v>58</v>
      </c>
      <c r="BL15" s="115" t="s">
        <v>58</v>
      </c>
      <c r="BM15" s="115" t="s">
        <v>58</v>
      </c>
      <c r="BN15" s="76" t="s">
        <v>37</v>
      </c>
      <c r="BO15" s="108" t="s">
        <v>58</v>
      </c>
      <c r="BP15" s="48" t="s">
        <v>41</v>
      </c>
      <c r="BQ15" s="185"/>
    </row>
    <row r="16" spans="2:69" s="1" customFormat="1" ht="8.25" customHeight="1" x14ac:dyDescent="0.2">
      <c r="B16" s="184"/>
      <c r="C16" s="75"/>
      <c r="D16" s="51"/>
      <c r="E16" s="75"/>
      <c r="F16" s="88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9"/>
      <c r="BN16" s="75"/>
      <c r="BO16" s="51"/>
      <c r="BP16" s="75"/>
      <c r="BQ16" s="185"/>
    </row>
    <row r="17" spans="1:69" s="1" customFormat="1" ht="27" customHeight="1" x14ac:dyDescent="0.2">
      <c r="B17" s="184"/>
      <c r="C17" s="73" t="s">
        <v>42</v>
      </c>
      <c r="D17" s="108" t="s">
        <v>58</v>
      </c>
      <c r="E17" s="74" t="s">
        <v>40</v>
      </c>
      <c r="F17" s="115" t="s">
        <v>58</v>
      </c>
      <c r="G17" s="115" t="s">
        <v>58</v>
      </c>
      <c r="H17" s="115" t="s">
        <v>58</v>
      </c>
      <c r="I17" s="115" t="s">
        <v>58</v>
      </c>
      <c r="J17" s="115" t="s">
        <v>58</v>
      </c>
      <c r="K17" s="115" t="s">
        <v>58</v>
      </c>
      <c r="L17" s="115" t="s">
        <v>58</v>
      </c>
      <c r="M17" s="115" t="s">
        <v>58</v>
      </c>
      <c r="N17" s="115" t="s">
        <v>58</v>
      </c>
      <c r="O17" s="115" t="s">
        <v>58</v>
      </c>
      <c r="P17" s="115" t="s">
        <v>58</v>
      </c>
      <c r="Q17" s="115" t="s">
        <v>58</v>
      </c>
      <c r="R17" s="115" t="s">
        <v>58</v>
      </c>
      <c r="S17" s="115" t="s">
        <v>58</v>
      </c>
      <c r="T17" s="115" t="s">
        <v>58</v>
      </c>
      <c r="U17" s="115" t="s">
        <v>58</v>
      </c>
      <c r="V17" s="115" t="s">
        <v>58</v>
      </c>
      <c r="W17" s="115" t="s">
        <v>58</v>
      </c>
      <c r="X17" s="115" t="s">
        <v>58</v>
      </c>
      <c r="Y17" s="115" t="s">
        <v>58</v>
      </c>
      <c r="Z17" s="115" t="s">
        <v>58</v>
      </c>
      <c r="AA17" s="115" t="s">
        <v>58</v>
      </c>
      <c r="AB17" s="115" t="s">
        <v>58</v>
      </c>
      <c r="AC17" s="115" t="s">
        <v>58</v>
      </c>
      <c r="AD17" s="115" t="s">
        <v>58</v>
      </c>
      <c r="AE17" s="115" t="s">
        <v>58</v>
      </c>
      <c r="AF17" s="115" t="s">
        <v>58</v>
      </c>
      <c r="AG17" s="115" t="s">
        <v>58</v>
      </c>
      <c r="AH17" s="115" t="s">
        <v>58</v>
      </c>
      <c r="AI17" s="115" t="s">
        <v>58</v>
      </c>
      <c r="AJ17" s="115" t="s">
        <v>58</v>
      </c>
      <c r="AK17" s="115" t="s">
        <v>58</v>
      </c>
      <c r="AL17" s="115" t="s">
        <v>58</v>
      </c>
      <c r="AM17" s="115" t="s">
        <v>58</v>
      </c>
      <c r="AN17" s="115" t="s">
        <v>58</v>
      </c>
      <c r="AO17" s="115" t="s">
        <v>58</v>
      </c>
      <c r="AP17" s="115" t="s">
        <v>58</v>
      </c>
      <c r="AQ17" s="115" t="s">
        <v>58</v>
      </c>
      <c r="AR17" s="115" t="s">
        <v>58</v>
      </c>
      <c r="AS17" s="115" t="s">
        <v>58</v>
      </c>
      <c r="AT17" s="115" t="s">
        <v>58</v>
      </c>
      <c r="AU17" s="115" t="s">
        <v>58</v>
      </c>
      <c r="AV17" s="115" t="s">
        <v>58</v>
      </c>
      <c r="AW17" s="115" t="s">
        <v>58</v>
      </c>
      <c r="AX17" s="115" t="s">
        <v>58</v>
      </c>
      <c r="AY17" s="115" t="s">
        <v>58</v>
      </c>
      <c r="AZ17" s="115" t="s">
        <v>58</v>
      </c>
      <c r="BA17" s="115" t="s">
        <v>58</v>
      </c>
      <c r="BB17" s="115" t="s">
        <v>58</v>
      </c>
      <c r="BC17" s="115" t="s">
        <v>58</v>
      </c>
      <c r="BD17" s="115" t="s">
        <v>58</v>
      </c>
      <c r="BE17" s="115" t="s">
        <v>58</v>
      </c>
      <c r="BF17" s="115" t="s">
        <v>58</v>
      </c>
      <c r="BG17" s="115" t="s">
        <v>58</v>
      </c>
      <c r="BH17" s="115" t="s">
        <v>58</v>
      </c>
      <c r="BI17" s="115" t="s">
        <v>58</v>
      </c>
      <c r="BJ17" s="115" t="s">
        <v>58</v>
      </c>
      <c r="BK17" s="115" t="s">
        <v>58</v>
      </c>
      <c r="BL17" s="115" t="s">
        <v>58</v>
      </c>
      <c r="BM17" s="115" t="s">
        <v>58</v>
      </c>
      <c r="BN17" s="77" t="s">
        <v>40</v>
      </c>
      <c r="BO17" s="108" t="s">
        <v>58</v>
      </c>
      <c r="BP17" s="73" t="s">
        <v>44</v>
      </c>
      <c r="BQ17" s="185"/>
    </row>
    <row r="18" spans="1:69" s="1" customFormat="1" ht="27" customHeight="1" x14ac:dyDescent="0.2">
      <c r="B18" s="184"/>
      <c r="C18" s="73" t="s">
        <v>45</v>
      </c>
      <c r="D18" s="108" t="s">
        <v>58</v>
      </c>
      <c r="E18" s="74" t="s">
        <v>43</v>
      </c>
      <c r="F18" s="115" t="s">
        <v>58</v>
      </c>
      <c r="G18" s="115" t="s">
        <v>58</v>
      </c>
      <c r="H18" s="115" t="s">
        <v>58</v>
      </c>
      <c r="I18" s="115" t="s">
        <v>58</v>
      </c>
      <c r="J18" s="115" t="s">
        <v>58</v>
      </c>
      <c r="K18" s="115" t="s">
        <v>58</v>
      </c>
      <c r="L18" s="115" t="s">
        <v>58</v>
      </c>
      <c r="M18" s="115" t="s">
        <v>58</v>
      </c>
      <c r="N18" s="115" t="s">
        <v>58</v>
      </c>
      <c r="O18" s="115" t="s">
        <v>58</v>
      </c>
      <c r="P18" s="115" t="s">
        <v>58</v>
      </c>
      <c r="Q18" s="115" t="s">
        <v>58</v>
      </c>
      <c r="R18" s="115" t="s">
        <v>58</v>
      </c>
      <c r="S18" s="115" t="s">
        <v>58</v>
      </c>
      <c r="T18" s="115" t="s">
        <v>58</v>
      </c>
      <c r="U18" s="115" t="s">
        <v>58</v>
      </c>
      <c r="V18" s="115" t="s">
        <v>58</v>
      </c>
      <c r="W18" s="115" t="s">
        <v>58</v>
      </c>
      <c r="X18" s="115" t="s">
        <v>58</v>
      </c>
      <c r="Y18" s="115" t="s">
        <v>58</v>
      </c>
      <c r="Z18" s="115" t="s">
        <v>58</v>
      </c>
      <c r="AA18" s="115" t="s">
        <v>58</v>
      </c>
      <c r="AB18" s="115" t="s">
        <v>58</v>
      </c>
      <c r="AC18" s="115" t="s">
        <v>58</v>
      </c>
      <c r="AD18" s="115" t="s">
        <v>58</v>
      </c>
      <c r="AE18" s="115" t="s">
        <v>58</v>
      </c>
      <c r="AF18" s="115" t="s">
        <v>58</v>
      </c>
      <c r="AG18" s="115" t="s">
        <v>58</v>
      </c>
      <c r="AH18" s="115" t="s">
        <v>58</v>
      </c>
      <c r="AI18" s="115" t="s">
        <v>58</v>
      </c>
      <c r="AJ18" s="115" t="s">
        <v>58</v>
      </c>
      <c r="AK18" s="115" t="s">
        <v>58</v>
      </c>
      <c r="AL18" s="115" t="s">
        <v>58</v>
      </c>
      <c r="AM18" s="115" t="s">
        <v>58</v>
      </c>
      <c r="AN18" s="115" t="s">
        <v>58</v>
      </c>
      <c r="AO18" s="115" t="s">
        <v>58</v>
      </c>
      <c r="AP18" s="115" t="s">
        <v>58</v>
      </c>
      <c r="AQ18" s="115" t="s">
        <v>58</v>
      </c>
      <c r="AR18" s="115" t="s">
        <v>58</v>
      </c>
      <c r="AS18" s="115" t="s">
        <v>58</v>
      </c>
      <c r="AT18" s="115" t="s">
        <v>58</v>
      </c>
      <c r="AU18" s="115" t="s">
        <v>58</v>
      </c>
      <c r="AV18" s="115" t="s">
        <v>58</v>
      </c>
      <c r="AW18" s="115" t="s">
        <v>58</v>
      </c>
      <c r="AX18" s="115" t="s">
        <v>58</v>
      </c>
      <c r="AY18" s="115" t="s">
        <v>58</v>
      </c>
      <c r="AZ18" s="115" t="s">
        <v>58</v>
      </c>
      <c r="BA18" s="115" t="s">
        <v>58</v>
      </c>
      <c r="BB18" s="115" t="s">
        <v>58</v>
      </c>
      <c r="BC18" s="115" t="s">
        <v>58</v>
      </c>
      <c r="BD18" s="115" t="s">
        <v>58</v>
      </c>
      <c r="BE18" s="115" t="s">
        <v>58</v>
      </c>
      <c r="BF18" s="115" t="s">
        <v>58</v>
      </c>
      <c r="BG18" s="115" t="s">
        <v>58</v>
      </c>
      <c r="BH18" s="115" t="s">
        <v>58</v>
      </c>
      <c r="BI18" s="115" t="s">
        <v>58</v>
      </c>
      <c r="BJ18" s="115" t="s">
        <v>58</v>
      </c>
      <c r="BK18" s="115" t="s">
        <v>58</v>
      </c>
      <c r="BL18" s="115" t="s">
        <v>58</v>
      </c>
      <c r="BM18" s="115" t="s">
        <v>58</v>
      </c>
      <c r="BN18" s="77" t="s">
        <v>43</v>
      </c>
      <c r="BO18" s="108" t="s">
        <v>58</v>
      </c>
      <c r="BP18" s="73" t="s">
        <v>47</v>
      </c>
      <c r="BQ18" s="185"/>
    </row>
    <row r="19" spans="1:69" s="1" customFormat="1" ht="27" customHeight="1" x14ac:dyDescent="0.2">
      <c r="B19" s="184"/>
      <c r="C19" s="73" t="s">
        <v>48</v>
      </c>
      <c r="D19" s="108" t="s">
        <v>58</v>
      </c>
      <c r="E19" s="74" t="s">
        <v>46</v>
      </c>
      <c r="F19" s="115" t="s">
        <v>58</v>
      </c>
      <c r="G19" s="115" t="s">
        <v>58</v>
      </c>
      <c r="H19" s="115" t="s">
        <v>58</v>
      </c>
      <c r="I19" s="115" t="s">
        <v>58</v>
      </c>
      <c r="J19" s="115" t="s">
        <v>58</v>
      </c>
      <c r="K19" s="115" t="s">
        <v>58</v>
      </c>
      <c r="L19" s="115" t="s">
        <v>58</v>
      </c>
      <c r="M19" s="115" t="s">
        <v>58</v>
      </c>
      <c r="N19" s="115" t="s">
        <v>58</v>
      </c>
      <c r="O19" s="115" t="s">
        <v>58</v>
      </c>
      <c r="P19" s="115" t="s">
        <v>58</v>
      </c>
      <c r="Q19" s="115" t="s">
        <v>58</v>
      </c>
      <c r="R19" s="115" t="s">
        <v>58</v>
      </c>
      <c r="S19" s="115" t="s">
        <v>58</v>
      </c>
      <c r="T19" s="115" t="s">
        <v>58</v>
      </c>
      <c r="U19" s="115" t="s">
        <v>58</v>
      </c>
      <c r="V19" s="115" t="s">
        <v>58</v>
      </c>
      <c r="W19" s="115" t="s">
        <v>58</v>
      </c>
      <c r="X19" s="115" t="s">
        <v>58</v>
      </c>
      <c r="Y19" s="115" t="s">
        <v>58</v>
      </c>
      <c r="Z19" s="115" t="s">
        <v>58</v>
      </c>
      <c r="AA19" s="115" t="s">
        <v>58</v>
      </c>
      <c r="AB19" s="115" t="s">
        <v>58</v>
      </c>
      <c r="AC19" s="115" t="s">
        <v>58</v>
      </c>
      <c r="AD19" s="115" t="s">
        <v>58</v>
      </c>
      <c r="AE19" s="115" t="s">
        <v>58</v>
      </c>
      <c r="AF19" s="115" t="s">
        <v>58</v>
      </c>
      <c r="AG19" s="115" t="s">
        <v>58</v>
      </c>
      <c r="AH19" s="115" t="s">
        <v>58</v>
      </c>
      <c r="AI19" s="115" t="s">
        <v>58</v>
      </c>
      <c r="AJ19" s="115" t="s">
        <v>58</v>
      </c>
      <c r="AK19" s="115" t="s">
        <v>58</v>
      </c>
      <c r="AL19" s="115" t="s">
        <v>58</v>
      </c>
      <c r="AM19" s="115" t="s">
        <v>58</v>
      </c>
      <c r="AN19" s="115" t="s">
        <v>58</v>
      </c>
      <c r="AO19" s="115" t="s">
        <v>58</v>
      </c>
      <c r="AP19" s="115" t="s">
        <v>58</v>
      </c>
      <c r="AQ19" s="115" t="s">
        <v>58</v>
      </c>
      <c r="AR19" s="115" t="s">
        <v>58</v>
      </c>
      <c r="AS19" s="115" t="s">
        <v>58</v>
      </c>
      <c r="AT19" s="115" t="s">
        <v>58</v>
      </c>
      <c r="AU19" s="115" t="s">
        <v>58</v>
      </c>
      <c r="AV19" s="115" t="s">
        <v>58</v>
      </c>
      <c r="AW19" s="115" t="s">
        <v>58</v>
      </c>
      <c r="AX19" s="115" t="s">
        <v>58</v>
      </c>
      <c r="AY19" s="115" t="s">
        <v>58</v>
      </c>
      <c r="AZ19" s="115" t="s">
        <v>58</v>
      </c>
      <c r="BA19" s="115" t="s">
        <v>58</v>
      </c>
      <c r="BB19" s="115" t="s">
        <v>58</v>
      </c>
      <c r="BC19" s="115" t="s">
        <v>58</v>
      </c>
      <c r="BD19" s="115" t="s">
        <v>58</v>
      </c>
      <c r="BE19" s="115" t="s">
        <v>58</v>
      </c>
      <c r="BF19" s="115" t="s">
        <v>58</v>
      </c>
      <c r="BG19" s="115" t="s">
        <v>58</v>
      </c>
      <c r="BH19" s="115" t="s">
        <v>58</v>
      </c>
      <c r="BI19" s="115" t="s">
        <v>58</v>
      </c>
      <c r="BJ19" s="115" t="s">
        <v>58</v>
      </c>
      <c r="BK19" s="115" t="s">
        <v>58</v>
      </c>
      <c r="BL19" s="115" t="s">
        <v>58</v>
      </c>
      <c r="BM19" s="115" t="s">
        <v>58</v>
      </c>
      <c r="BN19" s="77" t="s">
        <v>46</v>
      </c>
      <c r="BO19" s="108" t="s">
        <v>58</v>
      </c>
      <c r="BP19" s="73" t="s">
        <v>49</v>
      </c>
      <c r="BQ19" s="185"/>
    </row>
    <row r="20" spans="1:69" s="1" customFormat="1" ht="27" customHeight="1" x14ac:dyDescent="0.2">
      <c r="B20" s="184"/>
      <c r="C20" s="48" t="s">
        <v>50</v>
      </c>
      <c r="D20" s="108" t="s">
        <v>58</v>
      </c>
      <c r="E20" s="50" t="s">
        <v>69</v>
      </c>
      <c r="F20" s="118" t="s">
        <v>58</v>
      </c>
      <c r="G20" s="84"/>
      <c r="H20" s="108" t="s">
        <v>58</v>
      </c>
      <c r="I20" s="84"/>
      <c r="J20" s="108" t="s">
        <v>58</v>
      </c>
      <c r="K20" s="84"/>
      <c r="L20" s="108" t="s">
        <v>58</v>
      </c>
      <c r="M20" s="84"/>
      <c r="N20" s="108" t="s">
        <v>58</v>
      </c>
      <c r="O20" s="84"/>
      <c r="P20" s="108" t="s">
        <v>58</v>
      </c>
      <c r="Q20" s="84"/>
      <c r="R20" s="108" t="s">
        <v>58</v>
      </c>
      <c r="S20" s="84"/>
      <c r="T20" s="108" t="s">
        <v>58</v>
      </c>
      <c r="U20" s="84"/>
      <c r="V20" s="108" t="s">
        <v>58</v>
      </c>
      <c r="W20" s="84"/>
      <c r="X20" s="108" t="s">
        <v>58</v>
      </c>
      <c r="Y20" s="84"/>
      <c r="Z20" s="108" t="s">
        <v>58</v>
      </c>
      <c r="AA20" s="84"/>
      <c r="AB20" s="108" t="s">
        <v>58</v>
      </c>
      <c r="AC20" s="84"/>
      <c r="AD20" s="108" t="s">
        <v>58</v>
      </c>
      <c r="AE20" s="84"/>
      <c r="AF20" s="108" t="s">
        <v>58</v>
      </c>
      <c r="AG20" s="84"/>
      <c r="AH20" s="108" t="s">
        <v>58</v>
      </c>
      <c r="AI20" s="84"/>
      <c r="AJ20" s="84"/>
      <c r="AK20" s="108" t="s">
        <v>58</v>
      </c>
      <c r="AL20" s="84"/>
      <c r="AM20" s="108" t="s">
        <v>58</v>
      </c>
      <c r="AN20" s="84"/>
      <c r="AO20" s="108" t="s">
        <v>58</v>
      </c>
      <c r="AP20" s="84"/>
      <c r="AQ20" s="108" t="s">
        <v>58</v>
      </c>
      <c r="AR20" s="84"/>
      <c r="AS20" s="108" t="s">
        <v>58</v>
      </c>
      <c r="AT20" s="84"/>
      <c r="AU20" s="108" t="s">
        <v>58</v>
      </c>
      <c r="AV20" s="84"/>
      <c r="AW20" s="108" t="s">
        <v>58</v>
      </c>
      <c r="AX20" s="84"/>
      <c r="AY20" s="108" t="s">
        <v>58</v>
      </c>
      <c r="AZ20" s="84"/>
      <c r="BA20" s="108" t="s">
        <v>58</v>
      </c>
      <c r="BB20" s="84"/>
      <c r="BC20" s="108" t="s">
        <v>58</v>
      </c>
      <c r="BD20" s="84"/>
      <c r="BE20" s="108" t="s">
        <v>58</v>
      </c>
      <c r="BF20" s="84"/>
      <c r="BG20" s="108" t="s">
        <v>58</v>
      </c>
      <c r="BH20" s="84"/>
      <c r="BI20" s="108" t="s">
        <v>58</v>
      </c>
      <c r="BJ20" s="84"/>
      <c r="BK20" s="108" t="s">
        <v>58</v>
      </c>
      <c r="BL20" s="84"/>
      <c r="BM20" s="120" t="s">
        <v>58</v>
      </c>
      <c r="BN20" s="76" t="s">
        <v>69</v>
      </c>
      <c r="BO20" s="108" t="s">
        <v>58</v>
      </c>
      <c r="BP20" s="48" t="s">
        <v>52</v>
      </c>
      <c r="BQ20" s="185"/>
    </row>
    <row r="21" spans="1:69" s="14" customFormat="1" ht="27" customHeight="1" thickBot="1" x14ac:dyDescent="0.3">
      <c r="B21" s="184"/>
      <c r="C21" s="48" t="s">
        <v>53</v>
      </c>
      <c r="D21" s="108" t="s">
        <v>58</v>
      </c>
      <c r="E21" s="50" t="s">
        <v>70</v>
      </c>
      <c r="F21" s="90"/>
      <c r="G21" s="119" t="s">
        <v>58</v>
      </c>
      <c r="H21" s="91"/>
      <c r="I21" s="119" t="s">
        <v>58</v>
      </c>
      <c r="J21" s="91"/>
      <c r="K21" s="119" t="s">
        <v>58</v>
      </c>
      <c r="L21" s="91"/>
      <c r="M21" s="119" t="s">
        <v>58</v>
      </c>
      <c r="N21" s="91"/>
      <c r="O21" s="119" t="s">
        <v>58</v>
      </c>
      <c r="P21" s="91"/>
      <c r="Q21" s="119" t="s">
        <v>58</v>
      </c>
      <c r="R21" s="91"/>
      <c r="S21" s="119" t="s">
        <v>58</v>
      </c>
      <c r="T21" s="91"/>
      <c r="U21" s="119" t="s">
        <v>58</v>
      </c>
      <c r="V21" s="91"/>
      <c r="W21" s="119" t="s">
        <v>58</v>
      </c>
      <c r="X21" s="91"/>
      <c r="Y21" s="119" t="s">
        <v>58</v>
      </c>
      <c r="Z21" s="91"/>
      <c r="AA21" s="119" t="s">
        <v>58</v>
      </c>
      <c r="AB21" s="91"/>
      <c r="AC21" s="119" t="s">
        <v>58</v>
      </c>
      <c r="AD21" s="91"/>
      <c r="AE21" s="119" t="s">
        <v>58</v>
      </c>
      <c r="AF21" s="91"/>
      <c r="AG21" s="119" t="s">
        <v>58</v>
      </c>
      <c r="AH21" s="91"/>
      <c r="AI21" s="119" t="s">
        <v>58</v>
      </c>
      <c r="AJ21" s="119" t="s">
        <v>58</v>
      </c>
      <c r="AK21" s="91"/>
      <c r="AL21" s="119" t="s">
        <v>58</v>
      </c>
      <c r="AM21" s="91"/>
      <c r="AN21" s="119" t="s">
        <v>58</v>
      </c>
      <c r="AO21" s="91"/>
      <c r="AP21" s="119" t="s">
        <v>58</v>
      </c>
      <c r="AQ21" s="91"/>
      <c r="AR21" s="119" t="s">
        <v>58</v>
      </c>
      <c r="AS21" s="91"/>
      <c r="AT21" s="119" t="s">
        <v>58</v>
      </c>
      <c r="AU21" s="91"/>
      <c r="AV21" s="119" t="s">
        <v>58</v>
      </c>
      <c r="AW21" s="91"/>
      <c r="AX21" s="119" t="s">
        <v>58</v>
      </c>
      <c r="AY21" s="91"/>
      <c r="AZ21" s="119" t="s">
        <v>58</v>
      </c>
      <c r="BA21" s="91"/>
      <c r="BB21" s="119" t="s">
        <v>58</v>
      </c>
      <c r="BC21" s="91"/>
      <c r="BD21" s="119" t="s">
        <v>58</v>
      </c>
      <c r="BE21" s="91"/>
      <c r="BF21" s="119" t="s">
        <v>58</v>
      </c>
      <c r="BG21" s="91"/>
      <c r="BH21" s="119" t="s">
        <v>58</v>
      </c>
      <c r="BI21" s="91"/>
      <c r="BJ21" s="119" t="s">
        <v>58</v>
      </c>
      <c r="BK21" s="91"/>
      <c r="BL21" s="119" t="s">
        <v>58</v>
      </c>
      <c r="BM21" s="92"/>
      <c r="BN21" s="76" t="s">
        <v>70</v>
      </c>
      <c r="BO21" s="108" t="s">
        <v>58</v>
      </c>
      <c r="BP21" s="48" t="s">
        <v>54</v>
      </c>
      <c r="BQ21" s="185"/>
    </row>
    <row r="22" spans="1:69" s="1" customFormat="1" ht="27" customHeight="1" x14ac:dyDescent="0.25">
      <c r="B22" s="184"/>
      <c r="C22" s="48" t="s">
        <v>55</v>
      </c>
      <c r="D22" s="51" t="s">
        <v>58</v>
      </c>
      <c r="E22" s="52"/>
      <c r="F22" s="82">
        <v>1</v>
      </c>
      <c r="G22" s="53">
        <v>2</v>
      </c>
      <c r="H22" s="53">
        <v>3</v>
      </c>
      <c r="I22" s="53">
        <v>4</v>
      </c>
      <c r="J22" s="53">
        <v>5</v>
      </c>
      <c r="K22" s="53">
        <v>6</v>
      </c>
      <c r="L22" s="53">
        <v>7</v>
      </c>
      <c r="M22" s="53">
        <v>8</v>
      </c>
      <c r="N22" s="53">
        <v>9</v>
      </c>
      <c r="O22" s="53">
        <v>10</v>
      </c>
      <c r="P22" s="53">
        <v>11</v>
      </c>
      <c r="Q22" s="53">
        <v>12</v>
      </c>
      <c r="R22" s="53">
        <v>13</v>
      </c>
      <c r="S22" s="53">
        <v>14</v>
      </c>
      <c r="T22" s="53">
        <v>15</v>
      </c>
      <c r="U22" s="53">
        <v>16</v>
      </c>
      <c r="V22" s="53">
        <v>17</v>
      </c>
      <c r="W22" s="53">
        <v>18</v>
      </c>
      <c r="X22" s="53">
        <v>19</v>
      </c>
      <c r="Y22" s="53">
        <v>20</v>
      </c>
      <c r="Z22" s="53">
        <v>21</v>
      </c>
      <c r="AA22" s="53">
        <v>22</v>
      </c>
      <c r="AB22" s="53">
        <v>23</v>
      </c>
      <c r="AC22" s="53">
        <v>24</v>
      </c>
      <c r="AD22" s="53">
        <v>25</v>
      </c>
      <c r="AE22" s="53">
        <v>26</v>
      </c>
      <c r="AF22" s="53">
        <v>27</v>
      </c>
      <c r="AG22" s="53">
        <v>28</v>
      </c>
      <c r="AH22" s="53">
        <v>29</v>
      </c>
      <c r="AI22" s="53">
        <v>30</v>
      </c>
      <c r="AJ22" s="53">
        <v>31</v>
      </c>
      <c r="AK22" s="53">
        <v>32</v>
      </c>
      <c r="AL22" s="53">
        <v>33</v>
      </c>
      <c r="AM22" s="53">
        <v>34</v>
      </c>
      <c r="AN22" s="53">
        <v>35</v>
      </c>
      <c r="AO22" s="53">
        <v>36</v>
      </c>
      <c r="AP22" s="53">
        <v>37</v>
      </c>
      <c r="AQ22" s="53">
        <v>38</v>
      </c>
      <c r="AR22" s="53">
        <v>39</v>
      </c>
      <c r="AS22" s="53">
        <v>40</v>
      </c>
      <c r="AT22" s="53">
        <v>41</v>
      </c>
      <c r="AU22" s="53">
        <v>42</v>
      </c>
      <c r="AV22" s="53">
        <v>43</v>
      </c>
      <c r="AW22" s="53">
        <v>44</v>
      </c>
      <c r="AX22" s="53">
        <v>45</v>
      </c>
      <c r="AY22" s="53">
        <v>46</v>
      </c>
      <c r="AZ22" s="53">
        <v>47</v>
      </c>
      <c r="BA22" s="53">
        <v>48</v>
      </c>
      <c r="BB22" s="53">
        <v>49</v>
      </c>
      <c r="BC22" s="53">
        <v>50</v>
      </c>
      <c r="BD22" s="53">
        <v>51</v>
      </c>
      <c r="BE22" s="53">
        <v>52</v>
      </c>
      <c r="BF22" s="53">
        <v>53</v>
      </c>
      <c r="BG22" s="53">
        <v>54</v>
      </c>
      <c r="BH22" s="53">
        <v>55</v>
      </c>
      <c r="BI22" s="53">
        <v>56</v>
      </c>
      <c r="BJ22" s="53">
        <v>57</v>
      </c>
      <c r="BK22" s="53">
        <v>58</v>
      </c>
      <c r="BL22" s="53">
        <v>59</v>
      </c>
      <c r="BM22" s="83">
        <v>60</v>
      </c>
      <c r="BN22" s="14"/>
      <c r="BO22" s="51" t="s">
        <v>58</v>
      </c>
      <c r="BP22" s="48" t="s">
        <v>56</v>
      </c>
      <c r="BQ22" s="185"/>
    </row>
    <row r="23" spans="1:69" s="1" customFormat="1" ht="27" customHeight="1" x14ac:dyDescent="0.25">
      <c r="B23" s="184"/>
      <c r="C23" s="48" t="s">
        <v>71</v>
      </c>
      <c r="D23" s="51" t="s">
        <v>58</v>
      </c>
      <c r="E23" s="52"/>
      <c r="F23" s="186" t="s">
        <v>51</v>
      </c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4"/>
      <c r="BO23" s="51" t="s">
        <v>58</v>
      </c>
      <c r="BP23" s="48" t="s">
        <v>73</v>
      </c>
      <c r="BQ23" s="185"/>
    </row>
    <row r="24" spans="1:69" s="1" customFormat="1" ht="27" customHeight="1" x14ac:dyDescent="0.25">
      <c r="B24" s="184"/>
      <c r="C24" s="111" t="s">
        <v>72</v>
      </c>
      <c r="D24" s="51" t="s">
        <v>58</v>
      </c>
      <c r="E24" s="52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4"/>
      <c r="BO24" s="51" t="s">
        <v>58</v>
      </c>
      <c r="BP24" s="111" t="s">
        <v>74</v>
      </c>
      <c r="BQ24" s="54"/>
    </row>
    <row r="25" spans="1:69" x14ac:dyDescent="0.4">
      <c r="B25" s="112"/>
      <c r="BQ25" s="54"/>
    </row>
    <row r="26" spans="1:69" x14ac:dyDescent="0.4">
      <c r="B26" s="112"/>
      <c r="K26" s="114"/>
      <c r="L26" s="114"/>
      <c r="M26" s="114" t="s">
        <v>81</v>
      </c>
      <c r="N26" s="114"/>
      <c r="O26" s="114"/>
      <c r="Q26" s="114"/>
      <c r="R26" s="114"/>
      <c r="S26" s="114"/>
      <c r="T26" s="114"/>
      <c r="U26" s="114" t="s">
        <v>82</v>
      </c>
      <c r="V26" s="114"/>
      <c r="BQ26" s="55"/>
    </row>
    <row r="27" spans="1:69" ht="36" x14ac:dyDescent="0.55000000000000004">
      <c r="B27" s="112"/>
      <c r="K27" s="123" t="s">
        <v>80</v>
      </c>
      <c r="L27" s="123"/>
      <c r="M27" s="123"/>
      <c r="N27" s="123"/>
      <c r="O27" s="123"/>
      <c r="P27" s="124"/>
      <c r="Q27" s="124"/>
      <c r="R27" s="124"/>
      <c r="S27" s="124"/>
      <c r="T27" s="125" t="s">
        <v>58</v>
      </c>
      <c r="U27" s="180">
        <f ca="1">contarcolor(T27, D6:BO24)+U28</f>
        <v>792</v>
      </c>
      <c r="V27" s="180"/>
      <c r="BQ27" s="55"/>
    </row>
    <row r="28" spans="1:69" ht="36" x14ac:dyDescent="0.55000000000000004">
      <c r="B28" s="112"/>
      <c r="K28" s="126" t="s">
        <v>85</v>
      </c>
      <c r="L28" s="126"/>
      <c r="M28" s="126"/>
      <c r="N28" s="126"/>
      <c r="O28" s="126"/>
      <c r="P28" s="127"/>
      <c r="Q28" s="127"/>
      <c r="R28" s="127"/>
      <c r="S28" s="127"/>
      <c r="T28" s="128" t="s">
        <v>58</v>
      </c>
      <c r="U28" s="180">
        <f ca="1">contarcolor(T28, D6:BO25)</f>
        <v>624</v>
      </c>
      <c r="V28" s="180"/>
      <c r="BQ28" s="55"/>
    </row>
    <row r="29" spans="1:69" ht="36" x14ac:dyDescent="0.55000000000000004">
      <c r="B29" s="112"/>
      <c r="K29" s="129" t="s">
        <v>83</v>
      </c>
      <c r="L29" s="129"/>
      <c r="M29" s="129"/>
      <c r="N29" s="129"/>
      <c r="O29" s="129"/>
      <c r="P29" s="130"/>
      <c r="Q29" s="130"/>
      <c r="R29" s="130"/>
      <c r="S29" s="130"/>
      <c r="T29" s="131" t="s">
        <v>58</v>
      </c>
      <c r="U29" s="180">
        <f t="shared" ref="U29:U30" ca="1" si="0">contarcolor(T29, D8:BO26)</f>
        <v>0</v>
      </c>
      <c r="V29" s="180"/>
      <c r="BQ29" s="55"/>
    </row>
    <row r="30" spans="1:69" ht="36" x14ac:dyDescent="0.55000000000000004">
      <c r="B30" s="112"/>
      <c r="K30" s="132" t="s">
        <v>84</v>
      </c>
      <c r="L30" s="132"/>
      <c r="M30" s="132"/>
      <c r="N30" s="132"/>
      <c r="O30" s="132"/>
      <c r="P30" s="133"/>
      <c r="Q30" s="133"/>
      <c r="R30" s="133"/>
      <c r="S30" s="133"/>
      <c r="T30" s="134" t="s">
        <v>58</v>
      </c>
      <c r="U30" s="180">
        <f t="shared" ca="1" si="0"/>
        <v>0</v>
      </c>
      <c r="V30" s="180"/>
      <c r="BQ30" s="55"/>
    </row>
    <row r="31" spans="1:69" s="63" customFormat="1" ht="27" thickBot="1" x14ac:dyDescent="0.45">
      <c r="A31" s="61"/>
      <c r="B31" s="110"/>
      <c r="C31" s="57"/>
      <c r="D31" s="58"/>
      <c r="E31" s="57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8"/>
      <c r="BP31" s="59"/>
      <c r="BQ31" s="113"/>
    </row>
  </sheetData>
  <mergeCells count="10">
    <mergeCell ref="U30:V30"/>
    <mergeCell ref="B2:BN2"/>
    <mergeCell ref="B6:B24"/>
    <mergeCell ref="C5:E5"/>
    <mergeCell ref="BN5:BP5"/>
    <mergeCell ref="BQ6:BQ23"/>
    <mergeCell ref="F23:BM24"/>
    <mergeCell ref="U27:V27"/>
    <mergeCell ref="U28:V28"/>
    <mergeCell ref="U29:V29"/>
  </mergeCells>
  <printOptions horizontalCentered="1" verticalCentered="1"/>
  <pageMargins left="0.23622047244094491" right="0.27559055118110237" top="0.55118110236220474" bottom="0.74803149606299213" header="0.31496062992125984" footer="0.31496062992125984"/>
  <pageSetup paperSize="17" scale="4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BF93B-2F7D-4F5E-ADE8-99376B0B44F0}">
  <sheetPr codeName="Hoja5">
    <tabColor theme="3" tint="0.59999389629810485"/>
    <pageSetUpPr fitToPage="1"/>
  </sheetPr>
  <dimension ref="A1:BQ31"/>
  <sheetViews>
    <sheetView showGridLines="0" zoomScale="32" zoomScaleNormal="55" workbookViewId="0">
      <selection activeCell="X8" sqref="X8"/>
    </sheetView>
  </sheetViews>
  <sheetFormatPr baseColWidth="10" defaultColWidth="11.42578125" defaultRowHeight="26.25" x14ac:dyDescent="0.4"/>
  <cols>
    <col min="1" max="1" width="4.28515625" style="61" customWidth="1"/>
    <col min="2" max="2" width="3.28515625" style="61" customWidth="1"/>
    <col min="3" max="3" width="10.85546875" style="62" customWidth="1"/>
    <col min="4" max="4" width="7.7109375" style="63" customWidth="1"/>
    <col min="5" max="5" width="10.85546875" style="62" customWidth="1"/>
    <col min="6" max="20" width="6.7109375" style="61" customWidth="1"/>
    <col min="21" max="21" width="8" style="61" bestFit="1" customWidth="1"/>
    <col min="22" max="65" width="6.7109375" style="61" customWidth="1"/>
    <col min="66" max="66" width="10.7109375" style="62" customWidth="1"/>
    <col min="67" max="67" width="5.42578125" style="63" customWidth="1"/>
    <col min="68" max="68" width="10.85546875" style="64" customWidth="1"/>
    <col min="69" max="69" width="4.28515625" style="61" customWidth="1"/>
    <col min="70" max="70" width="6" style="61" customWidth="1"/>
    <col min="71" max="16384" width="11.42578125" style="61"/>
  </cols>
  <sheetData>
    <row r="1" spans="2:69" ht="27" thickBot="1" x14ac:dyDescent="0.45"/>
    <row r="2" spans="2:69" s="1" customFormat="1" ht="46.5" customHeight="1" x14ac:dyDescent="0.6">
      <c r="B2" s="181" t="s">
        <v>91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34"/>
      <c r="BP2" s="35"/>
      <c r="BQ2" s="36"/>
    </row>
    <row r="3" spans="2:69" s="1" customFormat="1" ht="23.25" customHeight="1" x14ac:dyDescent="0.4"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9"/>
      <c r="BP3" s="38"/>
      <c r="BQ3" s="40"/>
    </row>
    <row r="4" spans="2:69" s="1" customFormat="1" ht="15" customHeight="1" thickBot="1" x14ac:dyDescent="0.45">
      <c r="B4" s="41"/>
      <c r="C4" s="38"/>
      <c r="D4" s="39"/>
      <c r="E4" s="38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38"/>
      <c r="BO4" s="39"/>
      <c r="BP4" s="38"/>
      <c r="BQ4" s="43"/>
    </row>
    <row r="5" spans="2:69" s="47" customFormat="1" ht="36" customHeight="1" thickBot="1" x14ac:dyDescent="0.35">
      <c r="B5" s="44"/>
      <c r="C5" s="183" t="s">
        <v>75</v>
      </c>
      <c r="D5" s="183"/>
      <c r="E5" s="183"/>
      <c r="F5" s="78" t="s">
        <v>67</v>
      </c>
      <c r="G5" s="79" t="s">
        <v>10</v>
      </c>
      <c r="H5" s="79" t="s">
        <v>11</v>
      </c>
      <c r="I5" s="79" t="s">
        <v>10</v>
      </c>
      <c r="J5" s="79" t="s">
        <v>11</v>
      </c>
      <c r="K5" s="79" t="s">
        <v>10</v>
      </c>
      <c r="L5" s="79" t="s">
        <v>11</v>
      </c>
      <c r="M5" s="79" t="s">
        <v>10</v>
      </c>
      <c r="N5" s="79" t="s">
        <v>11</v>
      </c>
      <c r="O5" s="79" t="s">
        <v>10</v>
      </c>
      <c r="P5" s="79" t="s">
        <v>11</v>
      </c>
      <c r="Q5" s="79" t="s">
        <v>10</v>
      </c>
      <c r="R5" s="79" t="s">
        <v>11</v>
      </c>
      <c r="S5" s="79" t="s">
        <v>10</v>
      </c>
      <c r="T5" s="79" t="s">
        <v>11</v>
      </c>
      <c r="U5" s="79" t="s">
        <v>10</v>
      </c>
      <c r="V5" s="79" t="s">
        <v>11</v>
      </c>
      <c r="W5" s="79" t="s">
        <v>10</v>
      </c>
      <c r="X5" s="79" t="s">
        <v>11</v>
      </c>
      <c r="Y5" s="79" t="s">
        <v>10</v>
      </c>
      <c r="Z5" s="79" t="s">
        <v>11</v>
      </c>
      <c r="AA5" s="79" t="s">
        <v>10</v>
      </c>
      <c r="AB5" s="79" t="s">
        <v>11</v>
      </c>
      <c r="AC5" s="79" t="s">
        <v>10</v>
      </c>
      <c r="AD5" s="79" t="s">
        <v>11</v>
      </c>
      <c r="AE5" s="79" t="s">
        <v>10</v>
      </c>
      <c r="AF5" s="79" t="s">
        <v>11</v>
      </c>
      <c r="AG5" s="79" t="s">
        <v>10</v>
      </c>
      <c r="AH5" s="79" t="s">
        <v>11</v>
      </c>
      <c r="AI5" s="80" t="s">
        <v>10</v>
      </c>
      <c r="AJ5" s="80" t="s">
        <v>10</v>
      </c>
      <c r="AK5" s="79" t="s">
        <v>11</v>
      </c>
      <c r="AL5" s="79" t="s">
        <v>10</v>
      </c>
      <c r="AM5" s="79" t="s">
        <v>11</v>
      </c>
      <c r="AN5" s="79" t="s">
        <v>10</v>
      </c>
      <c r="AO5" s="79" t="s">
        <v>11</v>
      </c>
      <c r="AP5" s="79" t="s">
        <v>10</v>
      </c>
      <c r="AQ5" s="79" t="s">
        <v>11</v>
      </c>
      <c r="AR5" s="79" t="s">
        <v>10</v>
      </c>
      <c r="AS5" s="79" t="s">
        <v>11</v>
      </c>
      <c r="AT5" s="79" t="s">
        <v>10</v>
      </c>
      <c r="AU5" s="79" t="s">
        <v>11</v>
      </c>
      <c r="AV5" s="79" t="s">
        <v>10</v>
      </c>
      <c r="AW5" s="79" t="s">
        <v>11</v>
      </c>
      <c r="AX5" s="79" t="s">
        <v>10</v>
      </c>
      <c r="AY5" s="79" t="s">
        <v>11</v>
      </c>
      <c r="AZ5" s="79" t="s">
        <v>10</v>
      </c>
      <c r="BA5" s="79" t="s">
        <v>11</v>
      </c>
      <c r="BB5" s="79" t="s">
        <v>10</v>
      </c>
      <c r="BC5" s="79" t="s">
        <v>11</v>
      </c>
      <c r="BD5" s="79" t="s">
        <v>10</v>
      </c>
      <c r="BE5" s="79" t="s">
        <v>11</v>
      </c>
      <c r="BF5" s="79" t="s">
        <v>10</v>
      </c>
      <c r="BG5" s="79" t="s">
        <v>11</v>
      </c>
      <c r="BH5" s="79" t="s">
        <v>10</v>
      </c>
      <c r="BI5" s="79" t="s">
        <v>11</v>
      </c>
      <c r="BJ5" s="79" t="s">
        <v>10</v>
      </c>
      <c r="BK5" s="79" t="s">
        <v>11</v>
      </c>
      <c r="BL5" s="79" t="s">
        <v>10</v>
      </c>
      <c r="BM5" s="81" t="s">
        <v>68</v>
      </c>
      <c r="BN5" s="183" t="s">
        <v>76</v>
      </c>
      <c r="BO5" s="183"/>
      <c r="BP5" s="183"/>
      <c r="BQ5" s="46"/>
    </row>
    <row r="6" spans="2:69" s="1" customFormat="1" ht="27" customHeight="1" x14ac:dyDescent="0.3">
      <c r="B6" s="184"/>
      <c r="C6" s="48" t="s">
        <v>12</v>
      </c>
      <c r="D6" s="49" t="s">
        <v>58</v>
      </c>
      <c r="E6" s="38"/>
      <c r="F6" s="85" t="s">
        <v>58</v>
      </c>
      <c r="G6" s="86" t="s">
        <v>58</v>
      </c>
      <c r="H6" s="86" t="s">
        <v>58</v>
      </c>
      <c r="I6" s="86" t="s">
        <v>58</v>
      </c>
      <c r="J6" s="86" t="s">
        <v>58</v>
      </c>
      <c r="K6" s="86" t="s">
        <v>58</v>
      </c>
      <c r="L6" s="86" t="s">
        <v>58</v>
      </c>
      <c r="M6" s="86" t="s">
        <v>58</v>
      </c>
      <c r="N6" s="86" t="s">
        <v>58</v>
      </c>
      <c r="O6" s="86" t="s">
        <v>58</v>
      </c>
      <c r="P6" s="86" t="s">
        <v>58</v>
      </c>
      <c r="Q6" s="86" t="s">
        <v>58</v>
      </c>
      <c r="R6" s="86" t="s">
        <v>58</v>
      </c>
      <c r="S6" s="86" t="s">
        <v>58</v>
      </c>
      <c r="T6" s="86" t="s">
        <v>58</v>
      </c>
      <c r="U6" s="86" t="s">
        <v>58</v>
      </c>
      <c r="V6" s="86" t="s">
        <v>58</v>
      </c>
      <c r="W6" s="86" t="s">
        <v>58</v>
      </c>
      <c r="X6" s="86" t="s">
        <v>58</v>
      </c>
      <c r="Y6" s="86" t="s">
        <v>58</v>
      </c>
      <c r="Z6" s="86" t="s">
        <v>58</v>
      </c>
      <c r="AA6" s="86" t="s">
        <v>58</v>
      </c>
      <c r="AB6" s="86" t="s">
        <v>58</v>
      </c>
      <c r="AC6" s="86" t="s">
        <v>58</v>
      </c>
      <c r="AD6" s="86" t="s">
        <v>58</v>
      </c>
      <c r="AE6" s="86" t="s">
        <v>58</v>
      </c>
      <c r="AF6" s="86" t="s">
        <v>58</v>
      </c>
      <c r="AG6" s="86" t="s">
        <v>58</v>
      </c>
      <c r="AH6" s="86" t="s">
        <v>58</v>
      </c>
      <c r="AI6" s="86" t="s">
        <v>58</v>
      </c>
      <c r="AJ6" s="86" t="s">
        <v>58</v>
      </c>
      <c r="AK6" s="86" t="s">
        <v>58</v>
      </c>
      <c r="AL6" s="86" t="s">
        <v>58</v>
      </c>
      <c r="AM6" s="86" t="s">
        <v>58</v>
      </c>
      <c r="AN6" s="86" t="s">
        <v>58</v>
      </c>
      <c r="AO6" s="86" t="s">
        <v>58</v>
      </c>
      <c r="AP6" s="86" t="s">
        <v>58</v>
      </c>
      <c r="AQ6" s="86" t="s">
        <v>58</v>
      </c>
      <c r="AR6" s="86" t="s">
        <v>58</v>
      </c>
      <c r="AS6" s="86" t="s">
        <v>58</v>
      </c>
      <c r="AT6" s="86" t="s">
        <v>58</v>
      </c>
      <c r="AU6" s="86" t="s">
        <v>58</v>
      </c>
      <c r="AV6" s="86" t="s">
        <v>58</v>
      </c>
      <c r="AW6" s="86" t="s">
        <v>58</v>
      </c>
      <c r="AX6" s="86" t="s">
        <v>58</v>
      </c>
      <c r="AY6" s="86" t="s">
        <v>58</v>
      </c>
      <c r="AZ6" s="86" t="s">
        <v>58</v>
      </c>
      <c r="BA6" s="86" t="s">
        <v>58</v>
      </c>
      <c r="BB6" s="86" t="s">
        <v>58</v>
      </c>
      <c r="BC6" s="86" t="s">
        <v>58</v>
      </c>
      <c r="BD6" s="86" t="s">
        <v>58</v>
      </c>
      <c r="BE6" s="86" t="s">
        <v>58</v>
      </c>
      <c r="BF6" s="86" t="s">
        <v>58</v>
      </c>
      <c r="BG6" s="86" t="s">
        <v>58</v>
      </c>
      <c r="BH6" s="86" t="s">
        <v>58</v>
      </c>
      <c r="BI6" s="86" t="s">
        <v>58</v>
      </c>
      <c r="BJ6" s="86" t="s">
        <v>58</v>
      </c>
      <c r="BK6" s="86" t="s">
        <v>58</v>
      </c>
      <c r="BL6" s="86" t="s">
        <v>58</v>
      </c>
      <c r="BM6" s="87" t="s">
        <v>58</v>
      </c>
      <c r="BN6" s="45"/>
      <c r="BO6" s="49" t="s">
        <v>58</v>
      </c>
      <c r="BP6" s="48" t="s">
        <v>14</v>
      </c>
      <c r="BQ6" s="185"/>
    </row>
    <row r="7" spans="2:69" s="1" customFormat="1" ht="27" customHeight="1" x14ac:dyDescent="0.2">
      <c r="B7" s="184"/>
      <c r="C7" s="48" t="s">
        <v>15</v>
      </c>
      <c r="D7" s="49" t="s">
        <v>58</v>
      </c>
      <c r="E7" s="50" t="s">
        <v>13</v>
      </c>
      <c r="F7" s="121" t="s">
        <v>58</v>
      </c>
      <c r="G7" s="115" t="s">
        <v>58</v>
      </c>
      <c r="H7" s="115" t="s">
        <v>58</v>
      </c>
      <c r="I7" s="115" t="s">
        <v>58</v>
      </c>
      <c r="J7" s="115" t="s">
        <v>58</v>
      </c>
      <c r="K7" s="115" t="s">
        <v>58</v>
      </c>
      <c r="L7" s="115" t="s">
        <v>58</v>
      </c>
      <c r="M7" s="115" t="s">
        <v>58</v>
      </c>
      <c r="N7" s="115" t="s">
        <v>58</v>
      </c>
      <c r="O7" s="115" t="s">
        <v>58</v>
      </c>
      <c r="P7" s="115" t="s">
        <v>58</v>
      </c>
      <c r="Q7" s="115" t="s">
        <v>58</v>
      </c>
      <c r="R7" s="115" t="s">
        <v>58</v>
      </c>
      <c r="S7" s="115" t="s">
        <v>58</v>
      </c>
      <c r="T7" s="115" t="s">
        <v>58</v>
      </c>
      <c r="U7" s="115" t="s">
        <v>58</v>
      </c>
      <c r="V7" s="115" t="s">
        <v>58</v>
      </c>
      <c r="W7" s="115" t="s">
        <v>58</v>
      </c>
      <c r="X7" s="115" t="s">
        <v>58</v>
      </c>
      <c r="Y7" s="115" t="s">
        <v>58</v>
      </c>
      <c r="Z7" s="115" t="s">
        <v>58</v>
      </c>
      <c r="AA7" s="115" t="s">
        <v>58</v>
      </c>
      <c r="AB7" s="115" t="s">
        <v>58</v>
      </c>
      <c r="AC7" s="115" t="s">
        <v>58</v>
      </c>
      <c r="AD7" s="108" t="s">
        <v>58</v>
      </c>
      <c r="AE7" s="108" t="s">
        <v>58</v>
      </c>
      <c r="AF7" s="108" t="s">
        <v>58</v>
      </c>
      <c r="AG7" s="108" t="s">
        <v>58</v>
      </c>
      <c r="AH7" s="108" t="s">
        <v>58</v>
      </c>
      <c r="AI7" s="108" t="s">
        <v>58</v>
      </c>
      <c r="AJ7" s="108" t="s">
        <v>58</v>
      </c>
      <c r="AK7" s="108" t="s">
        <v>58</v>
      </c>
      <c r="AL7" s="108" t="s">
        <v>58</v>
      </c>
      <c r="AM7" s="108" t="s">
        <v>58</v>
      </c>
      <c r="AN7" s="108" t="s">
        <v>58</v>
      </c>
      <c r="AO7" s="108" t="s">
        <v>58</v>
      </c>
      <c r="AP7" s="108" t="s">
        <v>58</v>
      </c>
      <c r="AQ7" s="108" t="s">
        <v>58</v>
      </c>
      <c r="AR7" s="108" t="s">
        <v>58</v>
      </c>
      <c r="AS7" s="108" t="s">
        <v>58</v>
      </c>
      <c r="AT7" s="108" t="s">
        <v>58</v>
      </c>
      <c r="AU7" s="108" t="s">
        <v>58</v>
      </c>
      <c r="AV7" s="108" t="s">
        <v>58</v>
      </c>
      <c r="AW7" s="108" t="s">
        <v>58</v>
      </c>
      <c r="AX7" s="108" t="s">
        <v>58</v>
      </c>
      <c r="AY7" s="108" t="s">
        <v>58</v>
      </c>
      <c r="AZ7" s="108" t="s">
        <v>58</v>
      </c>
      <c r="BA7" s="108" t="s">
        <v>58</v>
      </c>
      <c r="BB7" s="115" t="s">
        <v>58</v>
      </c>
      <c r="BC7" s="115" t="s">
        <v>58</v>
      </c>
      <c r="BD7" s="115" t="s">
        <v>58</v>
      </c>
      <c r="BE7" s="115" t="s">
        <v>58</v>
      </c>
      <c r="BF7" s="115" t="s">
        <v>58</v>
      </c>
      <c r="BG7" s="115" t="s">
        <v>58</v>
      </c>
      <c r="BH7" s="115" t="s">
        <v>58</v>
      </c>
      <c r="BI7" s="115" t="s">
        <v>58</v>
      </c>
      <c r="BJ7" s="115" t="s">
        <v>58</v>
      </c>
      <c r="BK7" s="115" t="s">
        <v>58</v>
      </c>
      <c r="BL7" s="115" t="s">
        <v>58</v>
      </c>
      <c r="BM7" s="115" t="s">
        <v>58</v>
      </c>
      <c r="BN7" s="76" t="s">
        <v>13</v>
      </c>
      <c r="BO7" s="49" t="s">
        <v>58</v>
      </c>
      <c r="BP7" s="48" t="s">
        <v>17</v>
      </c>
      <c r="BQ7" s="185"/>
    </row>
    <row r="8" spans="2:69" s="1" customFormat="1" ht="27" customHeight="1" x14ac:dyDescent="0.2">
      <c r="B8" s="184"/>
      <c r="C8" s="48" t="s">
        <v>18</v>
      </c>
      <c r="D8" s="49" t="s">
        <v>58</v>
      </c>
      <c r="E8" s="50" t="s">
        <v>16</v>
      </c>
      <c r="F8" s="121" t="s">
        <v>58</v>
      </c>
      <c r="G8" s="115" t="s">
        <v>58</v>
      </c>
      <c r="H8" s="115" t="s">
        <v>58</v>
      </c>
      <c r="I8" s="115" t="s">
        <v>58</v>
      </c>
      <c r="J8" s="115" t="s">
        <v>58</v>
      </c>
      <c r="K8" s="115" t="s">
        <v>58</v>
      </c>
      <c r="L8" s="115" t="s">
        <v>58</v>
      </c>
      <c r="M8" s="115" t="s">
        <v>58</v>
      </c>
      <c r="N8" s="115" t="s">
        <v>58</v>
      </c>
      <c r="O8" s="115" t="s">
        <v>58</v>
      </c>
      <c r="P8" s="115" t="s">
        <v>58</v>
      </c>
      <c r="Q8" s="115" t="s">
        <v>58</v>
      </c>
      <c r="R8" s="115" t="s">
        <v>58</v>
      </c>
      <c r="S8" s="115" t="s">
        <v>58</v>
      </c>
      <c r="T8" s="115" t="s">
        <v>58</v>
      </c>
      <c r="U8" s="115" t="s">
        <v>58</v>
      </c>
      <c r="V8" s="115" t="s">
        <v>58</v>
      </c>
      <c r="W8" s="115" t="s">
        <v>58</v>
      </c>
      <c r="X8" s="115" t="s">
        <v>58</v>
      </c>
      <c r="Y8" s="115" t="s">
        <v>58</v>
      </c>
      <c r="Z8" s="115" t="s">
        <v>58</v>
      </c>
      <c r="AA8" s="115" t="s">
        <v>58</v>
      </c>
      <c r="AB8" s="115" t="s">
        <v>58</v>
      </c>
      <c r="AC8" s="115" t="s">
        <v>58</v>
      </c>
      <c r="AD8" s="108" t="s">
        <v>58</v>
      </c>
      <c r="AE8" s="108" t="s">
        <v>58</v>
      </c>
      <c r="AF8" s="108" t="s">
        <v>58</v>
      </c>
      <c r="AG8" s="108" t="s">
        <v>58</v>
      </c>
      <c r="AH8" s="108" t="s">
        <v>58</v>
      </c>
      <c r="AI8" s="108" t="s">
        <v>58</v>
      </c>
      <c r="AJ8" s="108" t="s">
        <v>58</v>
      </c>
      <c r="AK8" s="108" t="s">
        <v>58</v>
      </c>
      <c r="AL8" s="108" t="s">
        <v>58</v>
      </c>
      <c r="AM8" s="108" t="s">
        <v>58</v>
      </c>
      <c r="AN8" s="108" t="s">
        <v>58</v>
      </c>
      <c r="AO8" s="108" t="s">
        <v>58</v>
      </c>
      <c r="AP8" s="108" t="s">
        <v>58</v>
      </c>
      <c r="AQ8" s="108" t="s">
        <v>58</v>
      </c>
      <c r="AR8" s="108" t="s">
        <v>58</v>
      </c>
      <c r="AS8" s="108" t="s">
        <v>58</v>
      </c>
      <c r="AT8" s="108" t="s">
        <v>58</v>
      </c>
      <c r="AU8" s="108" t="s">
        <v>58</v>
      </c>
      <c r="AV8" s="108" t="s">
        <v>58</v>
      </c>
      <c r="AW8" s="108" t="s">
        <v>58</v>
      </c>
      <c r="AX8" s="108" t="s">
        <v>58</v>
      </c>
      <c r="AY8" s="108" t="s">
        <v>58</v>
      </c>
      <c r="AZ8" s="108" t="s">
        <v>58</v>
      </c>
      <c r="BA8" s="108" t="s">
        <v>58</v>
      </c>
      <c r="BB8" s="115" t="s">
        <v>58</v>
      </c>
      <c r="BC8" s="115" t="s">
        <v>58</v>
      </c>
      <c r="BD8" s="115" t="s">
        <v>58</v>
      </c>
      <c r="BE8" s="115" t="s">
        <v>58</v>
      </c>
      <c r="BF8" s="115" t="s">
        <v>58</v>
      </c>
      <c r="BG8" s="115" t="s">
        <v>58</v>
      </c>
      <c r="BH8" s="115" t="s">
        <v>58</v>
      </c>
      <c r="BI8" s="115" t="s">
        <v>58</v>
      </c>
      <c r="BJ8" s="115" t="s">
        <v>58</v>
      </c>
      <c r="BK8" s="115" t="s">
        <v>58</v>
      </c>
      <c r="BL8" s="115" t="s">
        <v>58</v>
      </c>
      <c r="BM8" s="115" t="s">
        <v>58</v>
      </c>
      <c r="BN8" s="76" t="s">
        <v>16</v>
      </c>
      <c r="BO8" s="49" t="s">
        <v>58</v>
      </c>
      <c r="BP8" s="48" t="s">
        <v>20</v>
      </c>
      <c r="BQ8" s="185"/>
    </row>
    <row r="9" spans="2:69" s="1" customFormat="1" ht="27" customHeight="1" x14ac:dyDescent="0.2">
      <c r="B9" s="184"/>
      <c r="C9" s="48" t="s">
        <v>21</v>
      </c>
      <c r="D9" s="49" t="s">
        <v>58</v>
      </c>
      <c r="E9" s="50" t="s">
        <v>19</v>
      </c>
      <c r="F9" s="121" t="s">
        <v>58</v>
      </c>
      <c r="G9" s="115" t="s">
        <v>58</v>
      </c>
      <c r="H9" s="115" t="s">
        <v>58</v>
      </c>
      <c r="I9" s="115" t="s">
        <v>58</v>
      </c>
      <c r="J9" s="115" t="s">
        <v>58</v>
      </c>
      <c r="K9" s="115" t="s">
        <v>58</v>
      </c>
      <c r="L9" s="115" t="s">
        <v>58</v>
      </c>
      <c r="M9" s="115" t="s">
        <v>58</v>
      </c>
      <c r="N9" s="115" t="s">
        <v>58</v>
      </c>
      <c r="O9" s="115" t="s">
        <v>58</v>
      </c>
      <c r="P9" s="115" t="s">
        <v>58</v>
      </c>
      <c r="Q9" s="115" t="s">
        <v>58</v>
      </c>
      <c r="R9" s="115" t="s">
        <v>58</v>
      </c>
      <c r="S9" s="115" t="s">
        <v>58</v>
      </c>
      <c r="T9" s="115" t="s">
        <v>58</v>
      </c>
      <c r="U9" s="115" t="s">
        <v>58</v>
      </c>
      <c r="V9" s="115" t="s">
        <v>58</v>
      </c>
      <c r="W9" s="115" t="s">
        <v>58</v>
      </c>
      <c r="X9" s="115" t="s">
        <v>58</v>
      </c>
      <c r="Y9" s="115" t="s">
        <v>58</v>
      </c>
      <c r="Z9" s="115" t="s">
        <v>58</v>
      </c>
      <c r="AA9" s="115" t="s">
        <v>58</v>
      </c>
      <c r="AB9" s="115" t="s">
        <v>58</v>
      </c>
      <c r="AC9" s="115" t="s">
        <v>58</v>
      </c>
      <c r="AD9" s="108" t="s">
        <v>58</v>
      </c>
      <c r="AE9" s="108" t="s">
        <v>58</v>
      </c>
      <c r="AF9" s="108" t="s">
        <v>58</v>
      </c>
      <c r="AG9" s="108" t="s">
        <v>58</v>
      </c>
      <c r="AH9" s="108" t="s">
        <v>58</v>
      </c>
      <c r="AI9" s="108" t="s">
        <v>58</v>
      </c>
      <c r="AJ9" s="108" t="s">
        <v>58</v>
      </c>
      <c r="AK9" s="108" t="s">
        <v>58</v>
      </c>
      <c r="AL9" s="108" t="s">
        <v>58</v>
      </c>
      <c r="AM9" s="108" t="s">
        <v>58</v>
      </c>
      <c r="AN9" s="108" t="s">
        <v>58</v>
      </c>
      <c r="AO9" s="108" t="s">
        <v>58</v>
      </c>
      <c r="AP9" s="108" t="s">
        <v>58</v>
      </c>
      <c r="AQ9" s="108" t="s">
        <v>58</v>
      </c>
      <c r="AR9" s="108" t="s">
        <v>58</v>
      </c>
      <c r="AS9" s="108" t="s">
        <v>58</v>
      </c>
      <c r="AT9" s="108" t="s">
        <v>58</v>
      </c>
      <c r="AU9" s="108" t="s">
        <v>58</v>
      </c>
      <c r="AV9" s="108" t="s">
        <v>58</v>
      </c>
      <c r="AW9" s="108" t="s">
        <v>58</v>
      </c>
      <c r="AX9" s="108" t="s">
        <v>58</v>
      </c>
      <c r="AY9" s="108" t="s">
        <v>58</v>
      </c>
      <c r="AZ9" s="108" t="s">
        <v>58</v>
      </c>
      <c r="BA9" s="108" t="s">
        <v>58</v>
      </c>
      <c r="BB9" s="115" t="s">
        <v>58</v>
      </c>
      <c r="BC9" s="115" t="s">
        <v>58</v>
      </c>
      <c r="BD9" s="115" t="s">
        <v>58</v>
      </c>
      <c r="BE9" s="115" t="s">
        <v>58</v>
      </c>
      <c r="BF9" s="115" t="s">
        <v>58</v>
      </c>
      <c r="BG9" s="115" t="s">
        <v>58</v>
      </c>
      <c r="BH9" s="115" t="s">
        <v>58</v>
      </c>
      <c r="BI9" s="115" t="s">
        <v>58</v>
      </c>
      <c r="BJ9" s="115" t="s">
        <v>58</v>
      </c>
      <c r="BK9" s="115" t="s">
        <v>58</v>
      </c>
      <c r="BL9" s="115" t="s">
        <v>58</v>
      </c>
      <c r="BM9" s="115" t="s">
        <v>58</v>
      </c>
      <c r="BN9" s="76" t="s">
        <v>19</v>
      </c>
      <c r="BO9" s="49" t="s">
        <v>58</v>
      </c>
      <c r="BP9" s="48" t="s">
        <v>23</v>
      </c>
      <c r="BQ9" s="185"/>
    </row>
    <row r="10" spans="2:69" s="1" customFormat="1" ht="27" customHeight="1" x14ac:dyDescent="0.2">
      <c r="B10" s="184"/>
      <c r="C10" s="48" t="s">
        <v>24</v>
      </c>
      <c r="D10" s="49" t="s">
        <v>58</v>
      </c>
      <c r="E10" s="50" t="s">
        <v>22</v>
      </c>
      <c r="F10" s="121" t="s">
        <v>58</v>
      </c>
      <c r="G10" s="115" t="s">
        <v>58</v>
      </c>
      <c r="H10" s="115" t="s">
        <v>58</v>
      </c>
      <c r="I10" s="115" t="s">
        <v>58</v>
      </c>
      <c r="J10" s="115" t="s">
        <v>58</v>
      </c>
      <c r="K10" s="115" t="s">
        <v>58</v>
      </c>
      <c r="L10" s="115" t="s">
        <v>58</v>
      </c>
      <c r="M10" s="115" t="s">
        <v>58</v>
      </c>
      <c r="N10" s="115" t="s">
        <v>58</v>
      </c>
      <c r="O10" s="115" t="s">
        <v>58</v>
      </c>
      <c r="P10" s="115" t="s">
        <v>58</v>
      </c>
      <c r="Q10" s="115" t="s">
        <v>58</v>
      </c>
      <c r="R10" s="115" t="s">
        <v>58</v>
      </c>
      <c r="S10" s="115" t="s">
        <v>58</v>
      </c>
      <c r="T10" s="115" t="s">
        <v>58</v>
      </c>
      <c r="U10" s="115" t="s">
        <v>58</v>
      </c>
      <c r="V10" s="115" t="s">
        <v>58</v>
      </c>
      <c r="W10" s="115" t="s">
        <v>58</v>
      </c>
      <c r="X10" s="115" t="s">
        <v>58</v>
      </c>
      <c r="Y10" s="115" t="s">
        <v>58</v>
      </c>
      <c r="Z10" s="115" t="s">
        <v>58</v>
      </c>
      <c r="AA10" s="115" t="s">
        <v>58</v>
      </c>
      <c r="AB10" s="115" t="s">
        <v>58</v>
      </c>
      <c r="AC10" s="115" t="s">
        <v>58</v>
      </c>
      <c r="AD10" s="108" t="s">
        <v>58</v>
      </c>
      <c r="AE10" s="108" t="s">
        <v>58</v>
      </c>
      <c r="AF10" s="108" t="s">
        <v>58</v>
      </c>
      <c r="AG10" s="108" t="s">
        <v>58</v>
      </c>
      <c r="AH10" s="108" t="s">
        <v>58</v>
      </c>
      <c r="AI10" s="108" t="s">
        <v>58</v>
      </c>
      <c r="AJ10" s="108" t="s">
        <v>58</v>
      </c>
      <c r="AK10" s="108" t="s">
        <v>58</v>
      </c>
      <c r="AL10" s="108" t="s">
        <v>58</v>
      </c>
      <c r="AM10" s="108" t="s">
        <v>58</v>
      </c>
      <c r="AN10" s="108" t="s">
        <v>58</v>
      </c>
      <c r="AO10" s="108" t="s">
        <v>58</v>
      </c>
      <c r="AP10" s="108" t="s">
        <v>58</v>
      </c>
      <c r="AQ10" s="108" t="s">
        <v>58</v>
      </c>
      <c r="AR10" s="108" t="s">
        <v>58</v>
      </c>
      <c r="AS10" s="108" t="s">
        <v>58</v>
      </c>
      <c r="AT10" s="108" t="s">
        <v>58</v>
      </c>
      <c r="AU10" s="108" t="s">
        <v>58</v>
      </c>
      <c r="AV10" s="108" t="s">
        <v>58</v>
      </c>
      <c r="AW10" s="108" t="s">
        <v>58</v>
      </c>
      <c r="AX10" s="108" t="s">
        <v>58</v>
      </c>
      <c r="AY10" s="108" t="s">
        <v>58</v>
      </c>
      <c r="AZ10" s="108" t="s">
        <v>58</v>
      </c>
      <c r="BA10" s="108" t="s">
        <v>58</v>
      </c>
      <c r="BB10" s="115" t="s">
        <v>58</v>
      </c>
      <c r="BC10" s="115" t="s">
        <v>58</v>
      </c>
      <c r="BD10" s="115" t="s">
        <v>58</v>
      </c>
      <c r="BE10" s="115" t="s">
        <v>58</v>
      </c>
      <c r="BF10" s="115" t="s">
        <v>58</v>
      </c>
      <c r="BG10" s="115" t="s">
        <v>58</v>
      </c>
      <c r="BH10" s="115" t="s">
        <v>58</v>
      </c>
      <c r="BI10" s="115" t="s">
        <v>58</v>
      </c>
      <c r="BJ10" s="115" t="s">
        <v>58</v>
      </c>
      <c r="BK10" s="115" t="s">
        <v>58</v>
      </c>
      <c r="BL10" s="115" t="s">
        <v>58</v>
      </c>
      <c r="BM10" s="115" t="s">
        <v>58</v>
      </c>
      <c r="BN10" s="76" t="s">
        <v>22</v>
      </c>
      <c r="BO10" s="49" t="s">
        <v>58</v>
      </c>
      <c r="BP10" s="48" t="s">
        <v>26</v>
      </c>
      <c r="BQ10" s="185"/>
    </row>
    <row r="11" spans="2:69" s="1" customFormat="1" ht="27" customHeight="1" x14ac:dyDescent="0.2">
      <c r="B11" s="184"/>
      <c r="C11" s="48" t="s">
        <v>27</v>
      </c>
      <c r="D11" s="49" t="s">
        <v>58</v>
      </c>
      <c r="E11" s="50" t="s">
        <v>25</v>
      </c>
      <c r="F11" s="121" t="s">
        <v>58</v>
      </c>
      <c r="G11" s="115" t="s">
        <v>58</v>
      </c>
      <c r="H11" s="115" t="s">
        <v>58</v>
      </c>
      <c r="I11" s="115" t="s">
        <v>58</v>
      </c>
      <c r="J11" s="115" t="s">
        <v>58</v>
      </c>
      <c r="K11" s="115" t="s">
        <v>58</v>
      </c>
      <c r="L11" s="115" t="s">
        <v>58</v>
      </c>
      <c r="M11" s="115" t="s">
        <v>58</v>
      </c>
      <c r="N11" s="115" t="s">
        <v>58</v>
      </c>
      <c r="O11" s="115" t="s">
        <v>58</v>
      </c>
      <c r="P11" s="115" t="s">
        <v>58</v>
      </c>
      <c r="Q11" s="115" t="s">
        <v>58</v>
      </c>
      <c r="R11" s="115" t="s">
        <v>58</v>
      </c>
      <c r="S11" s="115" t="s">
        <v>58</v>
      </c>
      <c r="T11" s="115" t="s">
        <v>58</v>
      </c>
      <c r="U11" s="115" t="s">
        <v>58</v>
      </c>
      <c r="V11" s="115" t="s">
        <v>58</v>
      </c>
      <c r="W11" s="115" t="s">
        <v>58</v>
      </c>
      <c r="X11" s="115" t="s">
        <v>58</v>
      </c>
      <c r="Y11" s="115" t="s">
        <v>58</v>
      </c>
      <c r="Z11" s="115" t="s">
        <v>58</v>
      </c>
      <c r="AA11" s="115" t="s">
        <v>58</v>
      </c>
      <c r="AB11" s="115" t="s">
        <v>58</v>
      </c>
      <c r="AC11" s="115" t="s">
        <v>58</v>
      </c>
      <c r="AD11" s="115" t="s">
        <v>58</v>
      </c>
      <c r="AE11" s="115" t="s">
        <v>58</v>
      </c>
      <c r="AF11" s="115" t="s">
        <v>58</v>
      </c>
      <c r="AG11" s="115" t="s">
        <v>58</v>
      </c>
      <c r="AH11" s="115" t="s">
        <v>58</v>
      </c>
      <c r="AI11" s="115" t="s">
        <v>58</v>
      </c>
      <c r="AJ11" s="115" t="s">
        <v>58</v>
      </c>
      <c r="AK11" s="115" t="s">
        <v>58</v>
      </c>
      <c r="AL11" s="115" t="s">
        <v>58</v>
      </c>
      <c r="AM11" s="115" t="s">
        <v>58</v>
      </c>
      <c r="AN11" s="115" t="s">
        <v>58</v>
      </c>
      <c r="AO11" s="115" t="s">
        <v>58</v>
      </c>
      <c r="AP11" s="115" t="s">
        <v>58</v>
      </c>
      <c r="AQ11" s="115" t="s">
        <v>58</v>
      </c>
      <c r="AR11" s="115" t="s">
        <v>58</v>
      </c>
      <c r="AS11" s="115" t="s">
        <v>58</v>
      </c>
      <c r="AT11" s="115" t="s">
        <v>58</v>
      </c>
      <c r="AU11" s="115" t="s">
        <v>58</v>
      </c>
      <c r="AV11" s="115" t="s">
        <v>58</v>
      </c>
      <c r="AW11" s="115" t="s">
        <v>58</v>
      </c>
      <c r="AX11" s="115" t="s">
        <v>58</v>
      </c>
      <c r="AY11" s="115" t="s">
        <v>58</v>
      </c>
      <c r="AZ11" s="115" t="s">
        <v>58</v>
      </c>
      <c r="BA11" s="115" t="s">
        <v>58</v>
      </c>
      <c r="BB11" s="115" t="s">
        <v>58</v>
      </c>
      <c r="BC11" s="115" t="s">
        <v>58</v>
      </c>
      <c r="BD11" s="115" t="s">
        <v>58</v>
      </c>
      <c r="BE11" s="115" t="s">
        <v>58</v>
      </c>
      <c r="BF11" s="115" t="s">
        <v>58</v>
      </c>
      <c r="BG11" s="115" t="s">
        <v>58</v>
      </c>
      <c r="BH11" s="115" t="s">
        <v>58</v>
      </c>
      <c r="BI11" s="115" t="s">
        <v>58</v>
      </c>
      <c r="BJ11" s="115" t="s">
        <v>58</v>
      </c>
      <c r="BK11" s="115" t="s">
        <v>58</v>
      </c>
      <c r="BL11" s="115" t="s">
        <v>58</v>
      </c>
      <c r="BM11" s="115" t="s">
        <v>58</v>
      </c>
      <c r="BN11" s="76" t="s">
        <v>25</v>
      </c>
      <c r="BO11" s="49" t="s">
        <v>58</v>
      </c>
      <c r="BP11" s="48" t="s">
        <v>29</v>
      </c>
      <c r="BQ11" s="185"/>
    </row>
    <row r="12" spans="2:69" s="1" customFormat="1" ht="27" customHeight="1" x14ac:dyDescent="0.2">
      <c r="B12" s="184"/>
      <c r="C12" s="48" t="s">
        <v>30</v>
      </c>
      <c r="D12" s="49" t="s">
        <v>58</v>
      </c>
      <c r="E12" s="50" t="s">
        <v>28</v>
      </c>
      <c r="F12" s="121" t="s">
        <v>58</v>
      </c>
      <c r="G12" s="115" t="s">
        <v>58</v>
      </c>
      <c r="H12" s="115" t="s">
        <v>58</v>
      </c>
      <c r="I12" s="115" t="s">
        <v>58</v>
      </c>
      <c r="J12" s="115" t="s">
        <v>58</v>
      </c>
      <c r="K12" s="115" t="s">
        <v>58</v>
      </c>
      <c r="L12" s="115" t="s">
        <v>58</v>
      </c>
      <c r="M12" s="115" t="s">
        <v>58</v>
      </c>
      <c r="N12" s="115" t="s">
        <v>58</v>
      </c>
      <c r="O12" s="115" t="s">
        <v>58</v>
      </c>
      <c r="P12" s="115" t="s">
        <v>58</v>
      </c>
      <c r="Q12" s="115" t="s">
        <v>58</v>
      </c>
      <c r="R12" s="115" t="s">
        <v>58</v>
      </c>
      <c r="S12" s="115" t="s">
        <v>58</v>
      </c>
      <c r="T12" s="115" t="s">
        <v>58</v>
      </c>
      <c r="U12" s="115" t="s">
        <v>58</v>
      </c>
      <c r="V12" s="115" t="s">
        <v>58</v>
      </c>
      <c r="W12" s="115" t="s">
        <v>58</v>
      </c>
      <c r="X12" s="115" t="s">
        <v>58</v>
      </c>
      <c r="Y12" s="115" t="s">
        <v>58</v>
      </c>
      <c r="Z12" s="115" t="s">
        <v>58</v>
      </c>
      <c r="AA12" s="115" t="s">
        <v>58</v>
      </c>
      <c r="AB12" s="115" t="s">
        <v>58</v>
      </c>
      <c r="AC12" s="115" t="s">
        <v>58</v>
      </c>
      <c r="AD12" s="115" t="s">
        <v>58</v>
      </c>
      <c r="AE12" s="115" t="s">
        <v>58</v>
      </c>
      <c r="AF12" s="115" t="s">
        <v>58</v>
      </c>
      <c r="AG12" s="115" t="s">
        <v>58</v>
      </c>
      <c r="AH12" s="115" t="s">
        <v>58</v>
      </c>
      <c r="AI12" s="115" t="s">
        <v>58</v>
      </c>
      <c r="AJ12" s="115" t="s">
        <v>58</v>
      </c>
      <c r="AK12" s="115" t="s">
        <v>58</v>
      </c>
      <c r="AL12" s="115" t="s">
        <v>58</v>
      </c>
      <c r="AM12" s="115" t="s">
        <v>58</v>
      </c>
      <c r="AN12" s="115" t="s">
        <v>58</v>
      </c>
      <c r="AO12" s="115" t="s">
        <v>58</v>
      </c>
      <c r="AP12" s="115" t="s">
        <v>58</v>
      </c>
      <c r="AQ12" s="115" t="s">
        <v>58</v>
      </c>
      <c r="AR12" s="115" t="s">
        <v>58</v>
      </c>
      <c r="AS12" s="115" t="s">
        <v>58</v>
      </c>
      <c r="AT12" s="115" t="s">
        <v>58</v>
      </c>
      <c r="AU12" s="115" t="s">
        <v>58</v>
      </c>
      <c r="AV12" s="115" t="s">
        <v>58</v>
      </c>
      <c r="AW12" s="115" t="s">
        <v>58</v>
      </c>
      <c r="AX12" s="115" t="s">
        <v>58</v>
      </c>
      <c r="AY12" s="115" t="s">
        <v>58</v>
      </c>
      <c r="AZ12" s="115" t="s">
        <v>58</v>
      </c>
      <c r="BA12" s="115" t="s">
        <v>58</v>
      </c>
      <c r="BB12" s="115" t="s">
        <v>58</v>
      </c>
      <c r="BC12" s="115" t="s">
        <v>58</v>
      </c>
      <c r="BD12" s="115" t="s">
        <v>58</v>
      </c>
      <c r="BE12" s="115" t="s">
        <v>58</v>
      </c>
      <c r="BF12" s="115" t="s">
        <v>58</v>
      </c>
      <c r="BG12" s="115" t="s">
        <v>58</v>
      </c>
      <c r="BH12" s="115" t="s">
        <v>58</v>
      </c>
      <c r="BI12" s="115" t="s">
        <v>58</v>
      </c>
      <c r="BJ12" s="115" t="s">
        <v>58</v>
      </c>
      <c r="BK12" s="115" t="s">
        <v>58</v>
      </c>
      <c r="BL12" s="115" t="s">
        <v>58</v>
      </c>
      <c r="BM12" s="115" t="s">
        <v>58</v>
      </c>
      <c r="BN12" s="76" t="s">
        <v>28</v>
      </c>
      <c r="BO12" s="49" t="s">
        <v>58</v>
      </c>
      <c r="BP12" s="48" t="s">
        <v>32</v>
      </c>
      <c r="BQ12" s="185"/>
    </row>
    <row r="13" spans="2:69" s="1" customFormat="1" ht="27" customHeight="1" x14ac:dyDescent="0.2">
      <c r="B13" s="184"/>
      <c r="C13" s="48" t="s">
        <v>33</v>
      </c>
      <c r="D13" s="49" t="s">
        <v>58</v>
      </c>
      <c r="E13" s="50" t="s">
        <v>31</v>
      </c>
      <c r="F13" s="121" t="s">
        <v>58</v>
      </c>
      <c r="G13" s="115" t="s">
        <v>58</v>
      </c>
      <c r="H13" s="115" t="s">
        <v>58</v>
      </c>
      <c r="I13" s="115" t="s">
        <v>58</v>
      </c>
      <c r="J13" s="115" t="s">
        <v>58</v>
      </c>
      <c r="K13" s="115" t="s">
        <v>58</v>
      </c>
      <c r="L13" s="115" t="s">
        <v>58</v>
      </c>
      <c r="M13" s="115" t="s">
        <v>58</v>
      </c>
      <c r="N13" s="115" t="s">
        <v>58</v>
      </c>
      <c r="O13" s="115" t="s">
        <v>58</v>
      </c>
      <c r="P13" s="115" t="s">
        <v>58</v>
      </c>
      <c r="Q13" s="115" t="s">
        <v>58</v>
      </c>
      <c r="R13" s="115" t="s">
        <v>58</v>
      </c>
      <c r="S13" s="115" t="s">
        <v>58</v>
      </c>
      <c r="T13" s="115" t="s">
        <v>58</v>
      </c>
      <c r="U13" s="115" t="s">
        <v>58</v>
      </c>
      <c r="V13" s="115" t="s">
        <v>58</v>
      </c>
      <c r="W13" s="115" t="s">
        <v>58</v>
      </c>
      <c r="X13" s="115" t="s">
        <v>58</v>
      </c>
      <c r="Y13" s="115" t="s">
        <v>58</v>
      </c>
      <c r="Z13" s="115" t="s">
        <v>58</v>
      </c>
      <c r="AA13" s="115" t="s">
        <v>58</v>
      </c>
      <c r="AB13" s="115" t="s">
        <v>58</v>
      </c>
      <c r="AC13" s="115" t="s">
        <v>58</v>
      </c>
      <c r="AD13" s="115" t="s">
        <v>58</v>
      </c>
      <c r="AE13" s="115" t="s">
        <v>58</v>
      </c>
      <c r="AF13" s="115" t="s">
        <v>58</v>
      </c>
      <c r="AG13" s="115" t="s">
        <v>58</v>
      </c>
      <c r="AH13" s="115" t="s">
        <v>58</v>
      </c>
      <c r="AI13" s="115" t="s">
        <v>58</v>
      </c>
      <c r="AJ13" s="115" t="s">
        <v>58</v>
      </c>
      <c r="AK13" s="115" t="s">
        <v>58</v>
      </c>
      <c r="AL13" s="115" t="s">
        <v>58</v>
      </c>
      <c r="AM13" s="115" t="s">
        <v>58</v>
      </c>
      <c r="AN13" s="115" t="s">
        <v>58</v>
      </c>
      <c r="AO13" s="115" t="s">
        <v>58</v>
      </c>
      <c r="AP13" s="115" t="s">
        <v>58</v>
      </c>
      <c r="AQ13" s="115" t="s">
        <v>58</v>
      </c>
      <c r="AR13" s="115" t="s">
        <v>58</v>
      </c>
      <c r="AS13" s="115" t="s">
        <v>58</v>
      </c>
      <c r="AT13" s="115" t="s">
        <v>58</v>
      </c>
      <c r="AU13" s="115" t="s">
        <v>58</v>
      </c>
      <c r="AV13" s="115" t="s">
        <v>58</v>
      </c>
      <c r="AW13" s="115" t="s">
        <v>58</v>
      </c>
      <c r="AX13" s="115" t="s">
        <v>58</v>
      </c>
      <c r="AY13" s="115" t="s">
        <v>58</v>
      </c>
      <c r="AZ13" s="115" t="s">
        <v>58</v>
      </c>
      <c r="BA13" s="115" t="s">
        <v>58</v>
      </c>
      <c r="BB13" s="115" t="s">
        <v>58</v>
      </c>
      <c r="BC13" s="115" t="s">
        <v>58</v>
      </c>
      <c r="BD13" s="115" t="s">
        <v>58</v>
      </c>
      <c r="BE13" s="115" t="s">
        <v>58</v>
      </c>
      <c r="BF13" s="115" t="s">
        <v>58</v>
      </c>
      <c r="BG13" s="115" t="s">
        <v>58</v>
      </c>
      <c r="BH13" s="115" t="s">
        <v>58</v>
      </c>
      <c r="BI13" s="115" t="s">
        <v>58</v>
      </c>
      <c r="BJ13" s="115" t="s">
        <v>58</v>
      </c>
      <c r="BK13" s="115" t="s">
        <v>58</v>
      </c>
      <c r="BL13" s="115" t="s">
        <v>58</v>
      </c>
      <c r="BM13" s="115" t="s">
        <v>58</v>
      </c>
      <c r="BN13" s="76" t="s">
        <v>31</v>
      </c>
      <c r="BO13" s="49" t="s">
        <v>58</v>
      </c>
      <c r="BP13" s="48" t="s">
        <v>35</v>
      </c>
      <c r="BQ13" s="185"/>
    </row>
    <row r="14" spans="2:69" s="1" customFormat="1" ht="25.5" x14ac:dyDescent="0.2">
      <c r="B14" s="184"/>
      <c r="C14" s="48" t="s">
        <v>36</v>
      </c>
      <c r="D14" s="49" t="s">
        <v>58</v>
      </c>
      <c r="E14" s="50" t="s">
        <v>34</v>
      </c>
      <c r="F14" s="121" t="s">
        <v>58</v>
      </c>
      <c r="G14" s="115" t="s">
        <v>58</v>
      </c>
      <c r="H14" s="115" t="s">
        <v>58</v>
      </c>
      <c r="I14" s="115" t="s">
        <v>58</v>
      </c>
      <c r="J14" s="115" t="s">
        <v>58</v>
      </c>
      <c r="K14" s="115" t="s">
        <v>58</v>
      </c>
      <c r="L14" s="115" t="s">
        <v>58</v>
      </c>
      <c r="M14" s="115" t="s">
        <v>58</v>
      </c>
      <c r="N14" s="115" t="s">
        <v>58</v>
      </c>
      <c r="O14" s="115" t="s">
        <v>58</v>
      </c>
      <c r="P14" s="115" t="s">
        <v>58</v>
      </c>
      <c r="Q14" s="115" t="s">
        <v>58</v>
      </c>
      <c r="R14" s="115" t="s">
        <v>58</v>
      </c>
      <c r="S14" s="115" t="s">
        <v>58</v>
      </c>
      <c r="T14" s="115" t="s">
        <v>58</v>
      </c>
      <c r="U14" s="115" t="s">
        <v>58</v>
      </c>
      <c r="V14" s="115" t="s">
        <v>58</v>
      </c>
      <c r="W14" s="115" t="s">
        <v>58</v>
      </c>
      <c r="X14" s="115" t="s">
        <v>58</v>
      </c>
      <c r="Y14" s="115" t="s">
        <v>58</v>
      </c>
      <c r="Z14" s="115" t="s">
        <v>58</v>
      </c>
      <c r="AA14" s="115" t="s">
        <v>58</v>
      </c>
      <c r="AB14" s="115" t="s">
        <v>58</v>
      </c>
      <c r="AC14" s="115" t="s">
        <v>58</v>
      </c>
      <c r="AD14" s="115" t="s">
        <v>58</v>
      </c>
      <c r="AE14" s="115" t="s">
        <v>58</v>
      </c>
      <c r="AF14" s="115" t="s">
        <v>58</v>
      </c>
      <c r="AG14" s="115" t="s">
        <v>58</v>
      </c>
      <c r="AH14" s="115" t="s">
        <v>58</v>
      </c>
      <c r="AI14" s="115" t="s">
        <v>58</v>
      </c>
      <c r="AJ14" s="115" t="s">
        <v>58</v>
      </c>
      <c r="AK14" s="115" t="s">
        <v>58</v>
      </c>
      <c r="AL14" s="115" t="s">
        <v>58</v>
      </c>
      <c r="AM14" s="115" t="s">
        <v>58</v>
      </c>
      <c r="AN14" s="115" t="s">
        <v>58</v>
      </c>
      <c r="AO14" s="115" t="s">
        <v>58</v>
      </c>
      <c r="AP14" s="115" t="s">
        <v>58</v>
      </c>
      <c r="AQ14" s="115" t="s">
        <v>58</v>
      </c>
      <c r="AR14" s="115" t="s">
        <v>58</v>
      </c>
      <c r="AS14" s="115" t="s">
        <v>58</v>
      </c>
      <c r="AT14" s="115" t="s">
        <v>58</v>
      </c>
      <c r="AU14" s="115" t="s">
        <v>58</v>
      </c>
      <c r="AV14" s="115" t="s">
        <v>58</v>
      </c>
      <c r="AW14" s="115" t="s">
        <v>58</v>
      </c>
      <c r="AX14" s="115" t="s">
        <v>58</v>
      </c>
      <c r="AY14" s="115" t="s">
        <v>58</v>
      </c>
      <c r="AZ14" s="115" t="s">
        <v>58</v>
      </c>
      <c r="BA14" s="115" t="s">
        <v>58</v>
      </c>
      <c r="BB14" s="115" t="s">
        <v>58</v>
      </c>
      <c r="BC14" s="115" t="s">
        <v>58</v>
      </c>
      <c r="BD14" s="115" t="s">
        <v>58</v>
      </c>
      <c r="BE14" s="115" t="s">
        <v>58</v>
      </c>
      <c r="BF14" s="115" t="s">
        <v>58</v>
      </c>
      <c r="BG14" s="115" t="s">
        <v>58</v>
      </c>
      <c r="BH14" s="115" t="s">
        <v>58</v>
      </c>
      <c r="BI14" s="115" t="s">
        <v>58</v>
      </c>
      <c r="BJ14" s="115" t="s">
        <v>58</v>
      </c>
      <c r="BK14" s="115" t="s">
        <v>58</v>
      </c>
      <c r="BL14" s="115" t="s">
        <v>58</v>
      </c>
      <c r="BM14" s="115" t="s">
        <v>58</v>
      </c>
      <c r="BN14" s="76" t="s">
        <v>34</v>
      </c>
      <c r="BO14" s="49" t="s">
        <v>58</v>
      </c>
      <c r="BP14" s="48" t="s">
        <v>38</v>
      </c>
      <c r="BQ14" s="185"/>
    </row>
    <row r="15" spans="2:69" s="1" customFormat="1" ht="20.25" x14ac:dyDescent="0.2">
      <c r="B15" s="184"/>
      <c r="C15" s="48" t="s">
        <v>39</v>
      </c>
      <c r="D15" s="108" t="s">
        <v>58</v>
      </c>
      <c r="E15" s="50" t="s">
        <v>37</v>
      </c>
      <c r="F15" s="121" t="s">
        <v>58</v>
      </c>
      <c r="G15" s="115" t="s">
        <v>58</v>
      </c>
      <c r="H15" s="115" t="s">
        <v>58</v>
      </c>
      <c r="I15" s="115" t="s">
        <v>58</v>
      </c>
      <c r="J15" s="115" t="s">
        <v>58</v>
      </c>
      <c r="K15" s="115" t="s">
        <v>58</v>
      </c>
      <c r="L15" s="115" t="s">
        <v>58</v>
      </c>
      <c r="M15" s="115" t="s">
        <v>58</v>
      </c>
      <c r="N15" s="115" t="s">
        <v>58</v>
      </c>
      <c r="O15" s="115" t="s">
        <v>58</v>
      </c>
      <c r="P15" s="115" t="s">
        <v>58</v>
      </c>
      <c r="Q15" s="115" t="s">
        <v>58</v>
      </c>
      <c r="R15" s="115" t="s">
        <v>58</v>
      </c>
      <c r="S15" s="115" t="s">
        <v>58</v>
      </c>
      <c r="T15" s="115" t="s">
        <v>58</v>
      </c>
      <c r="U15" s="115" t="s">
        <v>58</v>
      </c>
      <c r="V15" s="115" t="s">
        <v>58</v>
      </c>
      <c r="W15" s="115" t="s">
        <v>58</v>
      </c>
      <c r="X15" s="115" t="s">
        <v>58</v>
      </c>
      <c r="Y15" s="115" t="s">
        <v>58</v>
      </c>
      <c r="Z15" s="115" t="s">
        <v>58</v>
      </c>
      <c r="AA15" s="115" t="s">
        <v>58</v>
      </c>
      <c r="AB15" s="115" t="s">
        <v>58</v>
      </c>
      <c r="AC15" s="115" t="s">
        <v>58</v>
      </c>
      <c r="AD15" s="115" t="s">
        <v>58</v>
      </c>
      <c r="AE15" s="115" t="s">
        <v>58</v>
      </c>
      <c r="AF15" s="115" t="s">
        <v>58</v>
      </c>
      <c r="AG15" s="115" t="s">
        <v>58</v>
      </c>
      <c r="AH15" s="115" t="s">
        <v>58</v>
      </c>
      <c r="AI15" s="115" t="s">
        <v>58</v>
      </c>
      <c r="AJ15" s="115" t="s">
        <v>58</v>
      </c>
      <c r="AK15" s="115" t="s">
        <v>58</v>
      </c>
      <c r="AL15" s="115" t="s">
        <v>58</v>
      </c>
      <c r="AM15" s="115" t="s">
        <v>58</v>
      </c>
      <c r="AN15" s="115" t="s">
        <v>58</v>
      </c>
      <c r="AO15" s="115" t="s">
        <v>58</v>
      </c>
      <c r="AP15" s="115" t="s">
        <v>58</v>
      </c>
      <c r="AQ15" s="115" t="s">
        <v>58</v>
      </c>
      <c r="AR15" s="115" t="s">
        <v>58</v>
      </c>
      <c r="AS15" s="115" t="s">
        <v>58</v>
      </c>
      <c r="AT15" s="115" t="s">
        <v>58</v>
      </c>
      <c r="AU15" s="115" t="s">
        <v>58</v>
      </c>
      <c r="AV15" s="115" t="s">
        <v>58</v>
      </c>
      <c r="AW15" s="115" t="s">
        <v>58</v>
      </c>
      <c r="AX15" s="115" t="s">
        <v>58</v>
      </c>
      <c r="AY15" s="115" t="s">
        <v>58</v>
      </c>
      <c r="AZ15" s="115" t="s">
        <v>58</v>
      </c>
      <c r="BA15" s="115" t="s">
        <v>58</v>
      </c>
      <c r="BB15" s="115" t="s">
        <v>58</v>
      </c>
      <c r="BC15" s="115" t="s">
        <v>58</v>
      </c>
      <c r="BD15" s="115" t="s">
        <v>58</v>
      </c>
      <c r="BE15" s="115" t="s">
        <v>58</v>
      </c>
      <c r="BF15" s="115" t="s">
        <v>58</v>
      </c>
      <c r="BG15" s="115" t="s">
        <v>58</v>
      </c>
      <c r="BH15" s="115" t="s">
        <v>58</v>
      </c>
      <c r="BI15" s="115" t="s">
        <v>58</v>
      </c>
      <c r="BJ15" s="115" t="s">
        <v>58</v>
      </c>
      <c r="BK15" s="115" t="s">
        <v>58</v>
      </c>
      <c r="BL15" s="115" t="s">
        <v>58</v>
      </c>
      <c r="BM15" s="122" t="s">
        <v>58</v>
      </c>
      <c r="BN15" s="76" t="s">
        <v>37</v>
      </c>
      <c r="BO15" s="108" t="s">
        <v>58</v>
      </c>
      <c r="BP15" s="48" t="s">
        <v>41</v>
      </c>
      <c r="BQ15" s="185"/>
    </row>
    <row r="16" spans="2:69" s="1" customFormat="1" ht="8.25" customHeight="1" x14ac:dyDescent="0.2">
      <c r="B16" s="184"/>
      <c r="C16" s="75"/>
      <c r="D16" s="109"/>
      <c r="E16" s="75"/>
      <c r="F16" s="88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9"/>
      <c r="BN16" s="75"/>
      <c r="BO16" s="51"/>
      <c r="BP16" s="75"/>
      <c r="BQ16" s="185"/>
    </row>
    <row r="17" spans="1:69" s="1" customFormat="1" ht="27" customHeight="1" x14ac:dyDescent="0.2">
      <c r="B17" s="184"/>
      <c r="C17" s="73" t="s">
        <v>42</v>
      </c>
      <c r="D17" s="108" t="s">
        <v>58</v>
      </c>
      <c r="E17" s="74" t="s">
        <v>40</v>
      </c>
      <c r="F17" s="121" t="s">
        <v>58</v>
      </c>
      <c r="G17" s="115" t="s">
        <v>58</v>
      </c>
      <c r="H17" s="115" t="s">
        <v>58</v>
      </c>
      <c r="I17" s="115" t="s">
        <v>58</v>
      </c>
      <c r="J17" s="115" t="s">
        <v>58</v>
      </c>
      <c r="K17" s="115" t="s">
        <v>58</v>
      </c>
      <c r="L17" s="115" t="s">
        <v>58</v>
      </c>
      <c r="M17" s="115" t="s">
        <v>58</v>
      </c>
      <c r="N17" s="115" t="s">
        <v>58</v>
      </c>
      <c r="O17" s="115" t="s">
        <v>58</v>
      </c>
      <c r="P17" s="115" t="s">
        <v>58</v>
      </c>
      <c r="Q17" s="115" t="s">
        <v>58</v>
      </c>
      <c r="R17" s="115" t="s">
        <v>58</v>
      </c>
      <c r="S17" s="115" t="s">
        <v>58</v>
      </c>
      <c r="T17" s="115" t="s">
        <v>58</v>
      </c>
      <c r="U17" s="115" t="s">
        <v>58</v>
      </c>
      <c r="V17" s="115" t="s">
        <v>58</v>
      </c>
      <c r="W17" s="115" t="s">
        <v>58</v>
      </c>
      <c r="X17" s="115" t="s">
        <v>58</v>
      </c>
      <c r="Y17" s="115" t="s">
        <v>58</v>
      </c>
      <c r="Z17" s="115" t="s">
        <v>58</v>
      </c>
      <c r="AA17" s="115" t="s">
        <v>58</v>
      </c>
      <c r="AB17" s="115" t="s">
        <v>58</v>
      </c>
      <c r="AC17" s="115" t="s">
        <v>58</v>
      </c>
      <c r="AD17" s="115" t="s">
        <v>58</v>
      </c>
      <c r="AE17" s="115" t="s">
        <v>58</v>
      </c>
      <c r="AF17" s="115" t="s">
        <v>58</v>
      </c>
      <c r="AG17" s="115" t="s">
        <v>58</v>
      </c>
      <c r="AH17" s="115" t="s">
        <v>58</v>
      </c>
      <c r="AI17" s="115" t="s">
        <v>58</v>
      </c>
      <c r="AJ17" s="115" t="s">
        <v>58</v>
      </c>
      <c r="AK17" s="115" t="s">
        <v>58</v>
      </c>
      <c r="AL17" s="115" t="s">
        <v>58</v>
      </c>
      <c r="AM17" s="115" t="s">
        <v>58</v>
      </c>
      <c r="AN17" s="115" t="s">
        <v>58</v>
      </c>
      <c r="AO17" s="115" t="s">
        <v>58</v>
      </c>
      <c r="AP17" s="115" t="s">
        <v>58</v>
      </c>
      <c r="AQ17" s="115" t="s">
        <v>58</v>
      </c>
      <c r="AR17" s="115" t="s">
        <v>58</v>
      </c>
      <c r="AS17" s="115" t="s">
        <v>58</v>
      </c>
      <c r="AT17" s="115" t="s">
        <v>58</v>
      </c>
      <c r="AU17" s="115" t="s">
        <v>58</v>
      </c>
      <c r="AV17" s="115" t="s">
        <v>58</v>
      </c>
      <c r="AW17" s="115" t="s">
        <v>58</v>
      </c>
      <c r="AX17" s="115" t="s">
        <v>58</v>
      </c>
      <c r="AY17" s="115" t="s">
        <v>58</v>
      </c>
      <c r="AZ17" s="115" t="s">
        <v>58</v>
      </c>
      <c r="BA17" s="115" t="s">
        <v>58</v>
      </c>
      <c r="BB17" s="115" t="s">
        <v>58</v>
      </c>
      <c r="BC17" s="115" t="s">
        <v>58</v>
      </c>
      <c r="BD17" s="115" t="s">
        <v>58</v>
      </c>
      <c r="BE17" s="115" t="s">
        <v>58</v>
      </c>
      <c r="BF17" s="115" t="s">
        <v>58</v>
      </c>
      <c r="BG17" s="115" t="s">
        <v>58</v>
      </c>
      <c r="BH17" s="115" t="s">
        <v>58</v>
      </c>
      <c r="BI17" s="115" t="s">
        <v>58</v>
      </c>
      <c r="BJ17" s="115" t="s">
        <v>58</v>
      </c>
      <c r="BK17" s="115" t="s">
        <v>58</v>
      </c>
      <c r="BL17" s="115" t="s">
        <v>58</v>
      </c>
      <c r="BM17" s="122" t="s">
        <v>58</v>
      </c>
      <c r="BN17" s="77" t="s">
        <v>40</v>
      </c>
      <c r="BO17" s="108" t="s">
        <v>58</v>
      </c>
      <c r="BP17" s="73" t="s">
        <v>44</v>
      </c>
      <c r="BQ17" s="185"/>
    </row>
    <row r="18" spans="1:69" s="1" customFormat="1" ht="27" customHeight="1" x14ac:dyDescent="0.2">
      <c r="B18" s="184"/>
      <c r="C18" s="73" t="s">
        <v>45</v>
      </c>
      <c r="D18" s="108" t="s">
        <v>58</v>
      </c>
      <c r="E18" s="74" t="s">
        <v>43</v>
      </c>
      <c r="F18" s="121" t="s">
        <v>58</v>
      </c>
      <c r="G18" s="115" t="s">
        <v>58</v>
      </c>
      <c r="H18" s="115" t="s">
        <v>58</v>
      </c>
      <c r="I18" s="115" t="s">
        <v>58</v>
      </c>
      <c r="J18" s="115" t="s">
        <v>58</v>
      </c>
      <c r="K18" s="115" t="s">
        <v>58</v>
      </c>
      <c r="L18" s="115" t="s">
        <v>58</v>
      </c>
      <c r="M18" s="115" t="s">
        <v>58</v>
      </c>
      <c r="N18" s="115" t="s">
        <v>58</v>
      </c>
      <c r="O18" s="115" t="s">
        <v>58</v>
      </c>
      <c r="P18" s="115" t="s">
        <v>58</v>
      </c>
      <c r="Q18" s="115" t="s">
        <v>58</v>
      </c>
      <c r="R18" s="115" t="s">
        <v>58</v>
      </c>
      <c r="S18" s="115" t="s">
        <v>58</v>
      </c>
      <c r="T18" s="115" t="s">
        <v>58</v>
      </c>
      <c r="U18" s="115" t="s">
        <v>58</v>
      </c>
      <c r="V18" s="115" t="s">
        <v>58</v>
      </c>
      <c r="W18" s="115" t="s">
        <v>58</v>
      </c>
      <c r="X18" s="115" t="s">
        <v>58</v>
      </c>
      <c r="Y18" s="115" t="s">
        <v>58</v>
      </c>
      <c r="Z18" s="115" t="s">
        <v>58</v>
      </c>
      <c r="AA18" s="115" t="s">
        <v>58</v>
      </c>
      <c r="AB18" s="115" t="s">
        <v>58</v>
      </c>
      <c r="AC18" s="115" t="s">
        <v>58</v>
      </c>
      <c r="AD18" s="115" t="s">
        <v>58</v>
      </c>
      <c r="AE18" s="115" t="s">
        <v>58</v>
      </c>
      <c r="AF18" s="115" t="s">
        <v>58</v>
      </c>
      <c r="AG18" s="115" t="s">
        <v>58</v>
      </c>
      <c r="AH18" s="115" t="s">
        <v>58</v>
      </c>
      <c r="AI18" s="115" t="s">
        <v>58</v>
      </c>
      <c r="AJ18" s="115" t="s">
        <v>58</v>
      </c>
      <c r="AK18" s="115" t="s">
        <v>58</v>
      </c>
      <c r="AL18" s="115" t="s">
        <v>58</v>
      </c>
      <c r="AM18" s="115" t="s">
        <v>58</v>
      </c>
      <c r="AN18" s="115" t="s">
        <v>58</v>
      </c>
      <c r="AO18" s="115" t="s">
        <v>58</v>
      </c>
      <c r="AP18" s="115" t="s">
        <v>58</v>
      </c>
      <c r="AQ18" s="115" t="s">
        <v>58</v>
      </c>
      <c r="AR18" s="115" t="s">
        <v>58</v>
      </c>
      <c r="AS18" s="115" t="s">
        <v>58</v>
      </c>
      <c r="AT18" s="115" t="s">
        <v>58</v>
      </c>
      <c r="AU18" s="115" t="s">
        <v>58</v>
      </c>
      <c r="AV18" s="115" t="s">
        <v>58</v>
      </c>
      <c r="AW18" s="115" t="s">
        <v>58</v>
      </c>
      <c r="AX18" s="115" t="s">
        <v>58</v>
      </c>
      <c r="AY18" s="115" t="s">
        <v>58</v>
      </c>
      <c r="AZ18" s="115" t="s">
        <v>58</v>
      </c>
      <c r="BA18" s="115" t="s">
        <v>58</v>
      </c>
      <c r="BB18" s="115" t="s">
        <v>58</v>
      </c>
      <c r="BC18" s="115" t="s">
        <v>58</v>
      </c>
      <c r="BD18" s="115" t="s">
        <v>58</v>
      </c>
      <c r="BE18" s="115" t="s">
        <v>58</v>
      </c>
      <c r="BF18" s="115" t="s">
        <v>58</v>
      </c>
      <c r="BG18" s="115" t="s">
        <v>58</v>
      </c>
      <c r="BH18" s="115" t="s">
        <v>58</v>
      </c>
      <c r="BI18" s="115" t="s">
        <v>58</v>
      </c>
      <c r="BJ18" s="115" t="s">
        <v>58</v>
      </c>
      <c r="BK18" s="115" t="s">
        <v>58</v>
      </c>
      <c r="BL18" s="115" t="s">
        <v>58</v>
      </c>
      <c r="BM18" s="122" t="s">
        <v>58</v>
      </c>
      <c r="BN18" s="77" t="s">
        <v>43</v>
      </c>
      <c r="BO18" s="108" t="s">
        <v>58</v>
      </c>
      <c r="BP18" s="73" t="s">
        <v>47</v>
      </c>
      <c r="BQ18" s="185"/>
    </row>
    <row r="19" spans="1:69" s="1" customFormat="1" ht="27" customHeight="1" x14ac:dyDescent="0.2">
      <c r="B19" s="184"/>
      <c r="C19" s="73" t="s">
        <v>48</v>
      </c>
      <c r="D19" s="108" t="s">
        <v>58</v>
      </c>
      <c r="E19" s="74" t="s">
        <v>46</v>
      </c>
      <c r="F19" s="121" t="s">
        <v>58</v>
      </c>
      <c r="G19" s="115" t="s">
        <v>58</v>
      </c>
      <c r="H19" s="115" t="s">
        <v>58</v>
      </c>
      <c r="I19" s="115" t="s">
        <v>58</v>
      </c>
      <c r="J19" s="115" t="s">
        <v>58</v>
      </c>
      <c r="K19" s="115" t="s">
        <v>58</v>
      </c>
      <c r="L19" s="115" t="s">
        <v>58</v>
      </c>
      <c r="M19" s="115" t="s">
        <v>58</v>
      </c>
      <c r="N19" s="115" t="s">
        <v>58</v>
      </c>
      <c r="O19" s="115" t="s">
        <v>58</v>
      </c>
      <c r="P19" s="115" t="s">
        <v>58</v>
      </c>
      <c r="Q19" s="115" t="s">
        <v>58</v>
      </c>
      <c r="R19" s="115" t="s">
        <v>58</v>
      </c>
      <c r="S19" s="115" t="s">
        <v>58</v>
      </c>
      <c r="T19" s="115" t="s">
        <v>58</v>
      </c>
      <c r="U19" s="115" t="s">
        <v>58</v>
      </c>
      <c r="V19" s="115" t="s">
        <v>58</v>
      </c>
      <c r="W19" s="115" t="s">
        <v>58</v>
      </c>
      <c r="X19" s="115" t="s">
        <v>58</v>
      </c>
      <c r="Y19" s="115" t="s">
        <v>58</v>
      </c>
      <c r="Z19" s="115" t="s">
        <v>58</v>
      </c>
      <c r="AA19" s="115" t="s">
        <v>58</v>
      </c>
      <c r="AB19" s="115" t="s">
        <v>58</v>
      </c>
      <c r="AC19" s="115" t="s">
        <v>58</v>
      </c>
      <c r="AD19" s="115" t="s">
        <v>58</v>
      </c>
      <c r="AE19" s="115" t="s">
        <v>58</v>
      </c>
      <c r="AF19" s="115" t="s">
        <v>58</v>
      </c>
      <c r="AG19" s="115" t="s">
        <v>58</v>
      </c>
      <c r="AH19" s="115" t="s">
        <v>58</v>
      </c>
      <c r="AI19" s="115" t="s">
        <v>58</v>
      </c>
      <c r="AJ19" s="115" t="s">
        <v>58</v>
      </c>
      <c r="AK19" s="115" t="s">
        <v>58</v>
      </c>
      <c r="AL19" s="115" t="s">
        <v>58</v>
      </c>
      <c r="AM19" s="115" t="s">
        <v>58</v>
      </c>
      <c r="AN19" s="115" t="s">
        <v>58</v>
      </c>
      <c r="AO19" s="115" t="s">
        <v>58</v>
      </c>
      <c r="AP19" s="115" t="s">
        <v>58</v>
      </c>
      <c r="AQ19" s="115" t="s">
        <v>58</v>
      </c>
      <c r="AR19" s="115" t="s">
        <v>58</v>
      </c>
      <c r="AS19" s="115" t="s">
        <v>58</v>
      </c>
      <c r="AT19" s="115" t="s">
        <v>58</v>
      </c>
      <c r="AU19" s="115" t="s">
        <v>58</v>
      </c>
      <c r="AV19" s="115" t="s">
        <v>58</v>
      </c>
      <c r="AW19" s="115" t="s">
        <v>58</v>
      </c>
      <c r="AX19" s="115" t="s">
        <v>58</v>
      </c>
      <c r="AY19" s="115" t="s">
        <v>58</v>
      </c>
      <c r="AZ19" s="115" t="s">
        <v>58</v>
      </c>
      <c r="BA19" s="115" t="s">
        <v>58</v>
      </c>
      <c r="BB19" s="115" t="s">
        <v>58</v>
      </c>
      <c r="BC19" s="115" t="s">
        <v>58</v>
      </c>
      <c r="BD19" s="115" t="s">
        <v>58</v>
      </c>
      <c r="BE19" s="115" t="s">
        <v>58</v>
      </c>
      <c r="BF19" s="115" t="s">
        <v>58</v>
      </c>
      <c r="BG19" s="115" t="s">
        <v>58</v>
      </c>
      <c r="BH19" s="115" t="s">
        <v>58</v>
      </c>
      <c r="BI19" s="115" t="s">
        <v>58</v>
      </c>
      <c r="BJ19" s="115" t="s">
        <v>58</v>
      </c>
      <c r="BK19" s="115" t="s">
        <v>58</v>
      </c>
      <c r="BL19" s="115" t="s">
        <v>58</v>
      </c>
      <c r="BM19" s="122" t="s">
        <v>58</v>
      </c>
      <c r="BN19" s="77" t="s">
        <v>46</v>
      </c>
      <c r="BO19" s="108" t="s">
        <v>58</v>
      </c>
      <c r="BP19" s="73" t="s">
        <v>49</v>
      </c>
      <c r="BQ19" s="185"/>
    </row>
    <row r="20" spans="1:69" s="1" customFormat="1" ht="27" customHeight="1" x14ac:dyDescent="0.2">
      <c r="B20" s="184"/>
      <c r="C20" s="48" t="s">
        <v>50</v>
      </c>
      <c r="D20" s="108" t="s">
        <v>58</v>
      </c>
      <c r="E20" s="50" t="s">
        <v>69</v>
      </c>
      <c r="F20" s="115" t="s">
        <v>58</v>
      </c>
      <c r="G20" s="84"/>
      <c r="H20" s="115" t="s">
        <v>58</v>
      </c>
      <c r="I20" s="84"/>
      <c r="J20" s="115" t="s">
        <v>58</v>
      </c>
      <c r="K20" s="84"/>
      <c r="L20" s="115" t="s">
        <v>58</v>
      </c>
      <c r="M20" s="84"/>
      <c r="N20" s="115" t="s">
        <v>58</v>
      </c>
      <c r="O20" s="84"/>
      <c r="P20" s="115" t="s">
        <v>58</v>
      </c>
      <c r="Q20" s="84"/>
      <c r="R20" s="115" t="s">
        <v>58</v>
      </c>
      <c r="S20" s="84"/>
      <c r="T20" s="115" t="s">
        <v>58</v>
      </c>
      <c r="U20" s="84"/>
      <c r="V20" s="115" t="s">
        <v>58</v>
      </c>
      <c r="W20" s="84"/>
      <c r="X20" s="115" t="s">
        <v>58</v>
      </c>
      <c r="Y20" s="84"/>
      <c r="Z20" s="115" t="s">
        <v>58</v>
      </c>
      <c r="AA20" s="84"/>
      <c r="AB20" s="115" t="s">
        <v>58</v>
      </c>
      <c r="AC20" s="84"/>
      <c r="AD20" s="115" t="s">
        <v>58</v>
      </c>
      <c r="AE20" s="84"/>
      <c r="AF20" s="115" t="s">
        <v>58</v>
      </c>
      <c r="AG20" s="84"/>
      <c r="AH20" s="115" t="s">
        <v>58</v>
      </c>
      <c r="AI20" s="84"/>
      <c r="AJ20" s="84"/>
      <c r="AK20" s="115" t="s">
        <v>58</v>
      </c>
      <c r="AL20" s="84"/>
      <c r="AM20" s="115" t="s">
        <v>58</v>
      </c>
      <c r="AN20" s="84"/>
      <c r="AO20" s="115" t="s">
        <v>58</v>
      </c>
      <c r="AP20" s="84"/>
      <c r="AQ20" s="115" t="s">
        <v>58</v>
      </c>
      <c r="AR20" s="84"/>
      <c r="AS20" s="115" t="s">
        <v>58</v>
      </c>
      <c r="AT20" s="84"/>
      <c r="AU20" s="115" t="s">
        <v>58</v>
      </c>
      <c r="AV20" s="84"/>
      <c r="AW20" s="115" t="s">
        <v>58</v>
      </c>
      <c r="AX20" s="84"/>
      <c r="AY20" s="115" t="s">
        <v>58</v>
      </c>
      <c r="AZ20" s="84"/>
      <c r="BA20" s="115" t="s">
        <v>58</v>
      </c>
      <c r="BB20" s="84"/>
      <c r="BC20" s="115" t="s">
        <v>58</v>
      </c>
      <c r="BD20" s="84"/>
      <c r="BE20" s="115" t="s">
        <v>58</v>
      </c>
      <c r="BF20" s="84"/>
      <c r="BG20" s="115" t="s">
        <v>58</v>
      </c>
      <c r="BH20" s="84"/>
      <c r="BI20" s="115" t="s">
        <v>58</v>
      </c>
      <c r="BJ20" s="84"/>
      <c r="BK20" s="115" t="s">
        <v>58</v>
      </c>
      <c r="BL20" s="84"/>
      <c r="BM20" s="115" t="s">
        <v>58</v>
      </c>
      <c r="BN20" s="76" t="s">
        <v>69</v>
      </c>
      <c r="BO20" s="108" t="s">
        <v>58</v>
      </c>
      <c r="BP20" s="48" t="s">
        <v>52</v>
      </c>
      <c r="BQ20" s="185"/>
    </row>
    <row r="21" spans="1:69" s="14" customFormat="1" ht="27" customHeight="1" thickBot="1" x14ac:dyDescent="0.3">
      <c r="B21" s="184"/>
      <c r="C21" s="48" t="s">
        <v>53</v>
      </c>
      <c r="D21" s="108" t="s">
        <v>58</v>
      </c>
      <c r="E21" s="50" t="s">
        <v>70</v>
      </c>
      <c r="F21" s="90"/>
      <c r="G21" s="115" t="s">
        <v>58</v>
      </c>
      <c r="H21" s="91"/>
      <c r="I21" s="115" t="s">
        <v>58</v>
      </c>
      <c r="J21" s="91"/>
      <c r="K21" s="115" t="s">
        <v>58</v>
      </c>
      <c r="L21" s="91"/>
      <c r="M21" s="115" t="s">
        <v>58</v>
      </c>
      <c r="N21" s="91"/>
      <c r="O21" s="115" t="s">
        <v>58</v>
      </c>
      <c r="P21" s="91"/>
      <c r="Q21" s="115" t="s">
        <v>58</v>
      </c>
      <c r="R21" s="91"/>
      <c r="S21" s="115" t="s">
        <v>58</v>
      </c>
      <c r="T21" s="91"/>
      <c r="U21" s="115" t="s">
        <v>58</v>
      </c>
      <c r="V21" s="91"/>
      <c r="W21" s="115" t="s">
        <v>58</v>
      </c>
      <c r="X21" s="91"/>
      <c r="Y21" s="115" t="s">
        <v>58</v>
      </c>
      <c r="Z21" s="91"/>
      <c r="AA21" s="115" t="s">
        <v>58</v>
      </c>
      <c r="AB21" s="91"/>
      <c r="AC21" s="115" t="s">
        <v>58</v>
      </c>
      <c r="AD21" s="91"/>
      <c r="AE21" s="115" t="s">
        <v>58</v>
      </c>
      <c r="AF21" s="91"/>
      <c r="AG21" s="115" t="s">
        <v>58</v>
      </c>
      <c r="AH21" s="91"/>
      <c r="AI21" s="115" t="s">
        <v>58</v>
      </c>
      <c r="AJ21" s="115" t="s">
        <v>58</v>
      </c>
      <c r="AK21" s="91"/>
      <c r="AL21" s="115" t="s">
        <v>58</v>
      </c>
      <c r="AM21" s="91"/>
      <c r="AN21" s="115" t="s">
        <v>58</v>
      </c>
      <c r="AO21" s="91"/>
      <c r="AP21" s="115" t="s">
        <v>58</v>
      </c>
      <c r="AQ21" s="91"/>
      <c r="AR21" s="115" t="s">
        <v>58</v>
      </c>
      <c r="AS21" s="91"/>
      <c r="AT21" s="115" t="s">
        <v>58</v>
      </c>
      <c r="AU21" s="91"/>
      <c r="AV21" s="115" t="s">
        <v>58</v>
      </c>
      <c r="AW21" s="91"/>
      <c r="AX21" s="115" t="s">
        <v>58</v>
      </c>
      <c r="AY21" s="91"/>
      <c r="AZ21" s="115" t="s">
        <v>58</v>
      </c>
      <c r="BA21" s="91"/>
      <c r="BB21" s="115" t="s">
        <v>58</v>
      </c>
      <c r="BC21" s="91"/>
      <c r="BD21" s="115" t="s">
        <v>58</v>
      </c>
      <c r="BE21" s="91"/>
      <c r="BF21" s="115" t="s">
        <v>58</v>
      </c>
      <c r="BG21" s="91"/>
      <c r="BH21" s="115" t="s">
        <v>58</v>
      </c>
      <c r="BI21" s="91"/>
      <c r="BJ21" s="115" t="s">
        <v>58</v>
      </c>
      <c r="BK21" s="91"/>
      <c r="BL21" s="115" t="s">
        <v>58</v>
      </c>
      <c r="BM21" s="92"/>
      <c r="BN21" s="76" t="s">
        <v>70</v>
      </c>
      <c r="BO21" s="108" t="s">
        <v>58</v>
      </c>
      <c r="BP21" s="48" t="s">
        <v>54</v>
      </c>
      <c r="BQ21" s="185"/>
    </row>
    <row r="22" spans="1:69" s="1" customFormat="1" ht="27" customHeight="1" x14ac:dyDescent="0.25">
      <c r="B22" s="184"/>
      <c r="C22" s="48" t="s">
        <v>55</v>
      </c>
      <c r="D22" s="51" t="s">
        <v>58</v>
      </c>
      <c r="E22" s="52"/>
      <c r="F22" s="82">
        <v>1</v>
      </c>
      <c r="G22" s="53">
        <v>2</v>
      </c>
      <c r="H22" s="53">
        <v>3</v>
      </c>
      <c r="I22" s="53">
        <v>4</v>
      </c>
      <c r="J22" s="53">
        <v>5</v>
      </c>
      <c r="K22" s="53">
        <v>6</v>
      </c>
      <c r="L22" s="53">
        <v>7</v>
      </c>
      <c r="M22" s="53">
        <v>8</v>
      </c>
      <c r="N22" s="53">
        <v>9</v>
      </c>
      <c r="O22" s="53">
        <v>10</v>
      </c>
      <c r="P22" s="53">
        <v>11</v>
      </c>
      <c r="Q22" s="53">
        <v>12</v>
      </c>
      <c r="R22" s="53">
        <v>13</v>
      </c>
      <c r="S22" s="53">
        <v>14</v>
      </c>
      <c r="T22" s="53">
        <v>15</v>
      </c>
      <c r="U22" s="53">
        <v>16</v>
      </c>
      <c r="V22" s="53">
        <v>17</v>
      </c>
      <c r="W22" s="53">
        <v>18</v>
      </c>
      <c r="X22" s="53">
        <v>19</v>
      </c>
      <c r="Y22" s="53">
        <v>20</v>
      </c>
      <c r="Z22" s="53">
        <v>21</v>
      </c>
      <c r="AA22" s="53">
        <v>22</v>
      </c>
      <c r="AB22" s="53">
        <v>23</v>
      </c>
      <c r="AC22" s="53">
        <v>24</v>
      </c>
      <c r="AD22" s="53">
        <v>25</v>
      </c>
      <c r="AE22" s="53">
        <v>26</v>
      </c>
      <c r="AF22" s="53">
        <v>27</v>
      </c>
      <c r="AG22" s="53">
        <v>28</v>
      </c>
      <c r="AH22" s="53">
        <v>29</v>
      </c>
      <c r="AI22" s="53">
        <v>30</v>
      </c>
      <c r="AJ22" s="53">
        <v>31</v>
      </c>
      <c r="AK22" s="53">
        <v>32</v>
      </c>
      <c r="AL22" s="53">
        <v>33</v>
      </c>
      <c r="AM22" s="53">
        <v>34</v>
      </c>
      <c r="AN22" s="53">
        <v>35</v>
      </c>
      <c r="AO22" s="53">
        <v>36</v>
      </c>
      <c r="AP22" s="53">
        <v>37</v>
      </c>
      <c r="AQ22" s="53">
        <v>38</v>
      </c>
      <c r="AR22" s="53">
        <v>39</v>
      </c>
      <c r="AS22" s="53">
        <v>40</v>
      </c>
      <c r="AT22" s="53">
        <v>41</v>
      </c>
      <c r="AU22" s="53">
        <v>42</v>
      </c>
      <c r="AV22" s="53">
        <v>43</v>
      </c>
      <c r="AW22" s="53">
        <v>44</v>
      </c>
      <c r="AX22" s="53">
        <v>45</v>
      </c>
      <c r="AY22" s="53">
        <v>46</v>
      </c>
      <c r="AZ22" s="53">
        <v>47</v>
      </c>
      <c r="BA22" s="53">
        <v>48</v>
      </c>
      <c r="BB22" s="53">
        <v>49</v>
      </c>
      <c r="BC22" s="53">
        <v>50</v>
      </c>
      <c r="BD22" s="53">
        <v>51</v>
      </c>
      <c r="BE22" s="53">
        <v>52</v>
      </c>
      <c r="BF22" s="53">
        <v>53</v>
      </c>
      <c r="BG22" s="53">
        <v>54</v>
      </c>
      <c r="BH22" s="53">
        <v>55</v>
      </c>
      <c r="BI22" s="53">
        <v>56</v>
      </c>
      <c r="BJ22" s="53">
        <v>57</v>
      </c>
      <c r="BK22" s="53">
        <v>58</v>
      </c>
      <c r="BL22" s="53">
        <v>59</v>
      </c>
      <c r="BM22" s="83">
        <v>60</v>
      </c>
      <c r="BN22" s="14"/>
      <c r="BO22" s="51" t="s">
        <v>58</v>
      </c>
      <c r="BP22" s="48" t="s">
        <v>56</v>
      </c>
      <c r="BQ22" s="185"/>
    </row>
    <row r="23" spans="1:69" s="1" customFormat="1" ht="27" customHeight="1" x14ac:dyDescent="0.25">
      <c r="B23" s="184"/>
      <c r="C23" s="48" t="s">
        <v>71</v>
      </c>
      <c r="D23" s="51" t="s">
        <v>58</v>
      </c>
      <c r="E23" s="52"/>
      <c r="F23" s="186" t="s">
        <v>51</v>
      </c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4"/>
      <c r="BO23" s="51" t="s">
        <v>58</v>
      </c>
      <c r="BP23" s="48" t="s">
        <v>73</v>
      </c>
      <c r="BQ23" s="185"/>
    </row>
    <row r="24" spans="1:69" s="1" customFormat="1" ht="27" customHeight="1" x14ac:dyDescent="0.25">
      <c r="B24" s="184"/>
      <c r="C24" s="111" t="s">
        <v>72</v>
      </c>
      <c r="D24" s="51" t="s">
        <v>58</v>
      </c>
      <c r="E24" s="52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4"/>
      <c r="BO24" s="51" t="s">
        <v>58</v>
      </c>
      <c r="BP24" s="111" t="s">
        <v>74</v>
      </c>
      <c r="BQ24" s="54"/>
    </row>
    <row r="25" spans="1:69" x14ac:dyDescent="0.4">
      <c r="B25" s="112"/>
      <c r="BQ25" s="54"/>
    </row>
    <row r="26" spans="1:69" x14ac:dyDescent="0.4">
      <c r="B26" s="112"/>
      <c r="K26" s="114"/>
      <c r="L26" s="114"/>
      <c r="M26" s="114" t="s">
        <v>81</v>
      </c>
      <c r="N26" s="114"/>
      <c r="O26" s="114"/>
      <c r="Q26" s="114"/>
      <c r="R26" s="114"/>
      <c r="S26" s="114"/>
      <c r="T26" s="114"/>
      <c r="U26" s="114" t="s">
        <v>82</v>
      </c>
      <c r="V26" s="114"/>
      <c r="BQ26" s="55"/>
    </row>
    <row r="27" spans="1:69" ht="36" x14ac:dyDescent="0.55000000000000004">
      <c r="B27" s="112"/>
      <c r="K27" s="123" t="s">
        <v>80</v>
      </c>
      <c r="L27" s="123"/>
      <c r="M27" s="123"/>
      <c r="N27" s="123"/>
      <c r="O27" s="123"/>
      <c r="P27" s="124"/>
      <c r="Q27" s="124"/>
      <c r="R27" s="124"/>
      <c r="S27" s="124"/>
      <c r="T27" s="125" t="s">
        <v>58</v>
      </c>
      <c r="U27" s="180">
        <f ca="1">contarcolor(T27, D6:BO24)+U28</f>
        <v>792</v>
      </c>
      <c r="V27" s="180"/>
      <c r="BQ27" s="55"/>
    </row>
    <row r="28" spans="1:69" ht="36" x14ac:dyDescent="0.55000000000000004">
      <c r="B28" s="112"/>
      <c r="K28" s="126" t="s">
        <v>85</v>
      </c>
      <c r="L28" s="126"/>
      <c r="M28" s="126"/>
      <c r="N28" s="126"/>
      <c r="O28" s="126"/>
      <c r="P28" s="127"/>
      <c r="Q28" s="127"/>
      <c r="R28" s="127"/>
      <c r="S28" s="127"/>
      <c r="T28" s="128" t="s">
        <v>58</v>
      </c>
      <c r="U28" s="180">
        <f ca="1">contarcolor(T28, D6:BO25)</f>
        <v>684</v>
      </c>
      <c r="V28" s="180"/>
      <c r="BQ28" s="55"/>
    </row>
    <row r="29" spans="1:69" ht="36" x14ac:dyDescent="0.55000000000000004">
      <c r="B29" s="112"/>
      <c r="K29" s="129" t="s">
        <v>83</v>
      </c>
      <c r="L29" s="129"/>
      <c r="M29" s="129"/>
      <c r="N29" s="129"/>
      <c r="O29" s="129"/>
      <c r="P29" s="130"/>
      <c r="Q29" s="130"/>
      <c r="R29" s="130"/>
      <c r="S29" s="130"/>
      <c r="T29" s="131" t="s">
        <v>58</v>
      </c>
      <c r="U29" s="180">
        <f t="shared" ref="U29:U30" ca="1" si="0">contarcolor(T29, D8:BO26)</f>
        <v>0</v>
      </c>
      <c r="V29" s="180"/>
      <c r="BQ29" s="55"/>
    </row>
    <row r="30" spans="1:69" ht="36" x14ac:dyDescent="0.55000000000000004">
      <c r="B30" s="112"/>
      <c r="K30" s="132" t="s">
        <v>84</v>
      </c>
      <c r="L30" s="132"/>
      <c r="M30" s="132"/>
      <c r="N30" s="132"/>
      <c r="O30" s="132"/>
      <c r="P30" s="133"/>
      <c r="Q30" s="133"/>
      <c r="R30" s="133"/>
      <c r="S30" s="133"/>
      <c r="T30" s="134" t="s">
        <v>58</v>
      </c>
      <c r="U30" s="180">
        <f t="shared" ca="1" si="0"/>
        <v>0</v>
      </c>
      <c r="V30" s="180"/>
      <c r="BQ30" s="55"/>
    </row>
    <row r="31" spans="1:69" s="63" customFormat="1" ht="27" thickBot="1" x14ac:dyDescent="0.45">
      <c r="A31" s="61"/>
      <c r="B31" s="110"/>
      <c r="C31" s="57"/>
      <c r="D31" s="58"/>
      <c r="E31" s="57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8"/>
      <c r="BP31" s="59"/>
      <c r="BQ31" s="113"/>
    </row>
  </sheetData>
  <mergeCells count="10">
    <mergeCell ref="BQ6:BQ23"/>
    <mergeCell ref="F23:BM24"/>
    <mergeCell ref="U27:V27"/>
    <mergeCell ref="U28:V28"/>
    <mergeCell ref="U29:V29"/>
    <mergeCell ref="U30:V30"/>
    <mergeCell ref="B2:BN2"/>
    <mergeCell ref="C5:E5"/>
    <mergeCell ref="BN5:BP5"/>
    <mergeCell ref="B6:B24"/>
  </mergeCells>
  <printOptions horizontalCentered="1" verticalCentered="1"/>
  <pageMargins left="0.23622047244094491" right="0.27559055118110237" top="0.55118110236220474" bottom="0.74803149606299213" header="0.31496062992125984" footer="0.31496062992125984"/>
  <pageSetup paperSize="17" scale="44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8F61C-6841-4F9F-A1A9-A1ECB8FA3F0D}">
  <sheetPr codeName="Hoja2">
    <tabColor theme="3" tint="0.59999389629810485"/>
    <pageSetUpPr fitToPage="1"/>
  </sheetPr>
  <dimension ref="A1:BQ30"/>
  <sheetViews>
    <sheetView showGridLines="0" zoomScale="40" zoomScaleNormal="40" workbookViewId="0">
      <selection activeCell="O8" sqref="O8"/>
    </sheetView>
  </sheetViews>
  <sheetFormatPr baseColWidth="10" defaultColWidth="11.42578125" defaultRowHeight="26.25" x14ac:dyDescent="0.4"/>
  <cols>
    <col min="1" max="1" width="11.42578125" style="61"/>
    <col min="2" max="2" width="3.28515625" style="61" customWidth="1"/>
    <col min="3" max="3" width="10.85546875" style="62" customWidth="1"/>
    <col min="4" max="4" width="7.7109375" style="63" customWidth="1"/>
    <col min="5" max="5" width="10.85546875" style="62" customWidth="1"/>
    <col min="6" max="65" width="6.7109375" style="61" customWidth="1"/>
    <col min="66" max="66" width="10.7109375" style="62" customWidth="1"/>
    <col min="67" max="67" width="5.42578125" style="63" customWidth="1"/>
    <col min="68" max="68" width="10.85546875" style="64" customWidth="1"/>
    <col min="69" max="69" width="4.28515625" style="61" customWidth="1"/>
    <col min="70" max="16384" width="11.42578125" style="61"/>
  </cols>
  <sheetData>
    <row r="1" spans="2:69" s="1" customFormat="1" ht="31.5" customHeight="1" x14ac:dyDescent="0.4">
      <c r="B1" s="190" t="s">
        <v>66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34"/>
      <c r="BP1" s="35"/>
      <c r="BQ1" s="36"/>
    </row>
    <row r="2" spans="2:69" s="1" customFormat="1" ht="6" customHeight="1" x14ac:dyDescent="0.4">
      <c r="B2" s="37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9"/>
      <c r="BP2" s="38"/>
      <c r="BQ2" s="40"/>
    </row>
    <row r="3" spans="2:69" s="1" customFormat="1" ht="15" customHeight="1" thickBot="1" x14ac:dyDescent="0.45">
      <c r="B3" s="41"/>
      <c r="C3" s="38"/>
      <c r="D3" s="39"/>
      <c r="E3" s="38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38"/>
      <c r="BO3" s="39"/>
      <c r="BP3" s="38"/>
      <c r="BQ3" s="43"/>
    </row>
    <row r="4" spans="2:69" s="47" customFormat="1" ht="36" customHeight="1" thickBot="1" x14ac:dyDescent="0.35">
      <c r="B4" s="44"/>
      <c r="C4" s="183" t="s">
        <v>75</v>
      </c>
      <c r="D4" s="183"/>
      <c r="E4" s="188"/>
      <c r="F4" s="78" t="s">
        <v>67</v>
      </c>
      <c r="G4" s="79" t="s">
        <v>10</v>
      </c>
      <c r="H4" s="79" t="s">
        <v>11</v>
      </c>
      <c r="I4" s="79" t="s">
        <v>10</v>
      </c>
      <c r="J4" s="79" t="s">
        <v>11</v>
      </c>
      <c r="K4" s="79" t="s">
        <v>10</v>
      </c>
      <c r="L4" s="79" t="s">
        <v>11</v>
      </c>
      <c r="M4" s="79" t="s">
        <v>10</v>
      </c>
      <c r="N4" s="79" t="s">
        <v>11</v>
      </c>
      <c r="O4" s="79" t="s">
        <v>10</v>
      </c>
      <c r="P4" s="79" t="s">
        <v>11</v>
      </c>
      <c r="Q4" s="79" t="s">
        <v>10</v>
      </c>
      <c r="R4" s="79" t="s">
        <v>11</v>
      </c>
      <c r="S4" s="79" t="s">
        <v>10</v>
      </c>
      <c r="T4" s="79" t="s">
        <v>11</v>
      </c>
      <c r="U4" s="79" t="s">
        <v>10</v>
      </c>
      <c r="V4" s="79" t="s">
        <v>11</v>
      </c>
      <c r="W4" s="79" t="s">
        <v>10</v>
      </c>
      <c r="X4" s="79" t="s">
        <v>11</v>
      </c>
      <c r="Y4" s="79" t="s">
        <v>10</v>
      </c>
      <c r="Z4" s="79" t="s">
        <v>11</v>
      </c>
      <c r="AA4" s="79" t="s">
        <v>10</v>
      </c>
      <c r="AB4" s="79" t="s">
        <v>11</v>
      </c>
      <c r="AC4" s="79" t="s">
        <v>10</v>
      </c>
      <c r="AD4" s="79" t="s">
        <v>11</v>
      </c>
      <c r="AE4" s="79" t="s">
        <v>10</v>
      </c>
      <c r="AF4" s="79" t="s">
        <v>11</v>
      </c>
      <c r="AG4" s="79" t="s">
        <v>10</v>
      </c>
      <c r="AH4" s="79" t="s">
        <v>11</v>
      </c>
      <c r="AI4" s="80" t="s">
        <v>10</v>
      </c>
      <c r="AJ4" s="80" t="s">
        <v>10</v>
      </c>
      <c r="AK4" s="79" t="s">
        <v>11</v>
      </c>
      <c r="AL4" s="79" t="s">
        <v>10</v>
      </c>
      <c r="AM4" s="79" t="s">
        <v>11</v>
      </c>
      <c r="AN4" s="79" t="s">
        <v>10</v>
      </c>
      <c r="AO4" s="79" t="s">
        <v>11</v>
      </c>
      <c r="AP4" s="79" t="s">
        <v>10</v>
      </c>
      <c r="AQ4" s="79" t="s">
        <v>11</v>
      </c>
      <c r="AR4" s="79" t="s">
        <v>10</v>
      </c>
      <c r="AS4" s="79" t="s">
        <v>11</v>
      </c>
      <c r="AT4" s="79" t="s">
        <v>10</v>
      </c>
      <c r="AU4" s="79" t="s">
        <v>11</v>
      </c>
      <c r="AV4" s="79" t="s">
        <v>10</v>
      </c>
      <c r="AW4" s="79" t="s">
        <v>11</v>
      </c>
      <c r="AX4" s="79" t="s">
        <v>10</v>
      </c>
      <c r="AY4" s="79" t="s">
        <v>11</v>
      </c>
      <c r="AZ4" s="79" t="s">
        <v>10</v>
      </c>
      <c r="BA4" s="79" t="s">
        <v>11</v>
      </c>
      <c r="BB4" s="79" t="s">
        <v>10</v>
      </c>
      <c r="BC4" s="79" t="s">
        <v>11</v>
      </c>
      <c r="BD4" s="79" t="s">
        <v>10</v>
      </c>
      <c r="BE4" s="79" t="s">
        <v>11</v>
      </c>
      <c r="BF4" s="79" t="s">
        <v>10</v>
      </c>
      <c r="BG4" s="79" t="s">
        <v>11</v>
      </c>
      <c r="BH4" s="79" t="s">
        <v>10</v>
      </c>
      <c r="BI4" s="79" t="s">
        <v>11</v>
      </c>
      <c r="BJ4" s="79" t="s">
        <v>10</v>
      </c>
      <c r="BK4" s="79" t="s">
        <v>11</v>
      </c>
      <c r="BL4" s="79" t="s">
        <v>10</v>
      </c>
      <c r="BM4" s="81" t="s">
        <v>68</v>
      </c>
      <c r="BN4" s="189" t="s">
        <v>76</v>
      </c>
      <c r="BO4" s="183"/>
      <c r="BP4" s="183"/>
      <c r="BQ4" s="46"/>
    </row>
    <row r="5" spans="2:69" s="1" customFormat="1" ht="27" customHeight="1" x14ac:dyDescent="0.3">
      <c r="B5" s="184"/>
      <c r="C5" s="48" t="s">
        <v>12</v>
      </c>
      <c r="D5" s="93" t="s">
        <v>77</v>
      </c>
      <c r="E5" s="38"/>
      <c r="F5" s="95" t="s">
        <v>77</v>
      </c>
      <c r="G5" s="96" t="s">
        <v>77</v>
      </c>
      <c r="H5" s="96" t="s">
        <v>77</v>
      </c>
      <c r="I5" s="96" t="s">
        <v>77</v>
      </c>
      <c r="J5" s="96" t="s">
        <v>77</v>
      </c>
      <c r="K5" s="96" t="s">
        <v>77</v>
      </c>
      <c r="L5" s="96" t="s">
        <v>77</v>
      </c>
      <c r="M5" s="96" t="s">
        <v>77</v>
      </c>
      <c r="N5" s="96" t="s">
        <v>77</v>
      </c>
      <c r="O5" s="96" t="s">
        <v>77</v>
      </c>
      <c r="P5" s="96" t="s">
        <v>77</v>
      </c>
      <c r="Q5" s="96" t="s">
        <v>77</v>
      </c>
      <c r="R5" s="96" t="s">
        <v>77</v>
      </c>
      <c r="S5" s="96" t="s">
        <v>77</v>
      </c>
      <c r="T5" s="96" t="s">
        <v>77</v>
      </c>
      <c r="U5" s="96" t="s">
        <v>77</v>
      </c>
      <c r="V5" s="96" t="s">
        <v>77</v>
      </c>
      <c r="W5" s="96" t="s">
        <v>77</v>
      </c>
      <c r="X5" s="96" t="s">
        <v>77</v>
      </c>
      <c r="Y5" s="96" t="s">
        <v>77</v>
      </c>
      <c r="Z5" s="96" t="s">
        <v>77</v>
      </c>
      <c r="AA5" s="96" t="s">
        <v>77</v>
      </c>
      <c r="AB5" s="96" t="s">
        <v>77</v>
      </c>
      <c r="AC5" s="96" t="s">
        <v>77</v>
      </c>
      <c r="AD5" s="96" t="s">
        <v>77</v>
      </c>
      <c r="AE5" s="96" t="s">
        <v>77</v>
      </c>
      <c r="AF5" s="96" t="s">
        <v>77</v>
      </c>
      <c r="AG5" s="96" t="s">
        <v>77</v>
      </c>
      <c r="AH5" s="96" t="s">
        <v>77</v>
      </c>
      <c r="AI5" s="96" t="s">
        <v>77</v>
      </c>
      <c r="AJ5" s="96" t="s">
        <v>77</v>
      </c>
      <c r="AK5" s="96" t="s">
        <v>77</v>
      </c>
      <c r="AL5" s="96" t="s">
        <v>77</v>
      </c>
      <c r="AM5" s="96" t="s">
        <v>77</v>
      </c>
      <c r="AN5" s="96" t="s">
        <v>77</v>
      </c>
      <c r="AO5" s="96" t="s">
        <v>77</v>
      </c>
      <c r="AP5" s="96" t="s">
        <v>77</v>
      </c>
      <c r="AQ5" s="96" t="s">
        <v>77</v>
      </c>
      <c r="AR5" s="96" t="s">
        <v>77</v>
      </c>
      <c r="AS5" s="96" t="s">
        <v>77</v>
      </c>
      <c r="AT5" s="96" t="s">
        <v>77</v>
      </c>
      <c r="AU5" s="96" t="s">
        <v>77</v>
      </c>
      <c r="AV5" s="96" t="s">
        <v>77</v>
      </c>
      <c r="AW5" s="96" t="s">
        <v>77</v>
      </c>
      <c r="AX5" s="96" t="s">
        <v>77</v>
      </c>
      <c r="AY5" s="96" t="s">
        <v>77</v>
      </c>
      <c r="AZ5" s="96" t="s">
        <v>77</v>
      </c>
      <c r="BA5" s="96" t="s">
        <v>77</v>
      </c>
      <c r="BB5" s="96" t="s">
        <v>77</v>
      </c>
      <c r="BC5" s="96" t="s">
        <v>77</v>
      </c>
      <c r="BD5" s="96" t="s">
        <v>77</v>
      </c>
      <c r="BE5" s="96" t="s">
        <v>77</v>
      </c>
      <c r="BF5" s="96" t="s">
        <v>77</v>
      </c>
      <c r="BG5" s="96" t="s">
        <v>77</v>
      </c>
      <c r="BH5" s="96" t="s">
        <v>77</v>
      </c>
      <c r="BI5" s="96" t="s">
        <v>77</v>
      </c>
      <c r="BJ5" s="96" t="s">
        <v>77</v>
      </c>
      <c r="BK5" s="96" t="s">
        <v>77</v>
      </c>
      <c r="BL5" s="96" t="s">
        <v>77</v>
      </c>
      <c r="BM5" s="97" t="s">
        <v>77</v>
      </c>
      <c r="BN5" s="45"/>
      <c r="BO5" s="93" t="s">
        <v>77</v>
      </c>
      <c r="BP5" s="48" t="s">
        <v>14</v>
      </c>
      <c r="BQ5" s="185"/>
    </row>
    <row r="6" spans="2:69" s="1" customFormat="1" ht="27" customHeight="1" x14ac:dyDescent="0.2">
      <c r="B6" s="184"/>
      <c r="C6" s="48" t="s">
        <v>15</v>
      </c>
      <c r="D6" s="93" t="s">
        <v>77</v>
      </c>
      <c r="E6" s="50" t="s">
        <v>13</v>
      </c>
      <c r="F6" s="98" t="s">
        <v>77</v>
      </c>
      <c r="G6" s="99" t="s">
        <v>77</v>
      </c>
      <c r="H6" s="99" t="s">
        <v>77</v>
      </c>
      <c r="I6" s="99" t="s">
        <v>77</v>
      </c>
      <c r="J6" s="99" t="s">
        <v>77</v>
      </c>
      <c r="K6" s="99" t="s">
        <v>77</v>
      </c>
      <c r="L6" s="99" t="s">
        <v>77</v>
      </c>
      <c r="M6" s="99" t="s">
        <v>77</v>
      </c>
      <c r="N6" s="99" t="s">
        <v>77</v>
      </c>
      <c r="O6" s="99" t="s">
        <v>77</v>
      </c>
      <c r="P6" s="99" t="s">
        <v>77</v>
      </c>
      <c r="Q6" s="99" t="s">
        <v>77</v>
      </c>
      <c r="R6" s="99" t="s">
        <v>77</v>
      </c>
      <c r="S6" s="99" t="s">
        <v>77</v>
      </c>
      <c r="T6" s="99" t="s">
        <v>77</v>
      </c>
      <c r="U6" s="99" t="s">
        <v>77</v>
      </c>
      <c r="V6" s="99" t="s">
        <v>77</v>
      </c>
      <c r="W6" s="99" t="s">
        <v>77</v>
      </c>
      <c r="X6" s="99" t="s">
        <v>77</v>
      </c>
      <c r="Y6" s="99" t="s">
        <v>77</v>
      </c>
      <c r="Z6" s="99" t="s">
        <v>77</v>
      </c>
      <c r="AA6" s="99" t="s">
        <v>77</v>
      </c>
      <c r="AB6" s="99" t="s">
        <v>77</v>
      </c>
      <c r="AC6" s="99" t="s">
        <v>77</v>
      </c>
      <c r="AD6" s="99" t="s">
        <v>77</v>
      </c>
      <c r="AE6" s="99" t="s">
        <v>77</v>
      </c>
      <c r="AF6" s="99" t="s">
        <v>77</v>
      </c>
      <c r="AG6" s="99" t="s">
        <v>77</v>
      </c>
      <c r="AH6" s="99" t="s">
        <v>77</v>
      </c>
      <c r="AI6" s="99" t="s">
        <v>77</v>
      </c>
      <c r="AJ6" s="99" t="s">
        <v>77</v>
      </c>
      <c r="AK6" s="99" t="s">
        <v>77</v>
      </c>
      <c r="AL6" s="99" t="s">
        <v>77</v>
      </c>
      <c r="AM6" s="99" t="s">
        <v>77</v>
      </c>
      <c r="AN6" s="99" t="s">
        <v>77</v>
      </c>
      <c r="AO6" s="99" t="s">
        <v>77</v>
      </c>
      <c r="AP6" s="99" t="s">
        <v>77</v>
      </c>
      <c r="AQ6" s="99" t="s">
        <v>77</v>
      </c>
      <c r="AR6" s="99" t="s">
        <v>77</v>
      </c>
      <c r="AS6" s="99" t="s">
        <v>77</v>
      </c>
      <c r="AT6" s="99" t="s">
        <v>77</v>
      </c>
      <c r="AU6" s="99" t="s">
        <v>77</v>
      </c>
      <c r="AV6" s="99" t="s">
        <v>77</v>
      </c>
      <c r="AW6" s="99" t="s">
        <v>77</v>
      </c>
      <c r="AX6" s="99" t="s">
        <v>77</v>
      </c>
      <c r="AY6" s="99" t="s">
        <v>77</v>
      </c>
      <c r="AZ6" s="99" t="s">
        <v>77</v>
      </c>
      <c r="BA6" s="99" t="s">
        <v>77</v>
      </c>
      <c r="BB6" s="99" t="s">
        <v>77</v>
      </c>
      <c r="BC6" s="99" t="s">
        <v>77</v>
      </c>
      <c r="BD6" s="99" t="s">
        <v>77</v>
      </c>
      <c r="BE6" s="99" t="s">
        <v>77</v>
      </c>
      <c r="BF6" s="99" t="s">
        <v>77</v>
      </c>
      <c r="BG6" s="99" t="s">
        <v>77</v>
      </c>
      <c r="BH6" s="99" t="s">
        <v>77</v>
      </c>
      <c r="BI6" s="99" t="s">
        <v>77</v>
      </c>
      <c r="BJ6" s="99" t="s">
        <v>77</v>
      </c>
      <c r="BK6" s="99" t="s">
        <v>77</v>
      </c>
      <c r="BL6" s="99" t="s">
        <v>77</v>
      </c>
      <c r="BM6" s="100" t="s">
        <v>77</v>
      </c>
      <c r="BN6" s="76" t="s">
        <v>13</v>
      </c>
      <c r="BO6" s="93" t="s">
        <v>77</v>
      </c>
      <c r="BP6" s="48" t="s">
        <v>17</v>
      </c>
      <c r="BQ6" s="185"/>
    </row>
    <row r="7" spans="2:69" s="1" customFormat="1" ht="27" customHeight="1" x14ac:dyDescent="0.2">
      <c r="B7" s="184"/>
      <c r="C7" s="48" t="s">
        <v>18</v>
      </c>
      <c r="D7" s="93" t="s">
        <v>77</v>
      </c>
      <c r="E7" s="50" t="s">
        <v>16</v>
      </c>
      <c r="F7" s="98" t="s">
        <v>77</v>
      </c>
      <c r="G7" s="99" t="s">
        <v>77</v>
      </c>
      <c r="H7" s="99" t="s">
        <v>77</v>
      </c>
      <c r="I7" s="99" t="s">
        <v>77</v>
      </c>
      <c r="J7" s="99" t="s">
        <v>77</v>
      </c>
      <c r="K7" s="99" t="s">
        <v>77</v>
      </c>
      <c r="L7" s="99" t="s">
        <v>77</v>
      </c>
      <c r="M7" s="99" t="s">
        <v>77</v>
      </c>
      <c r="N7" s="99" t="s">
        <v>77</v>
      </c>
      <c r="O7" s="99" t="s">
        <v>77</v>
      </c>
      <c r="P7" s="99" t="s">
        <v>77</v>
      </c>
      <c r="Q7" s="99" t="s">
        <v>77</v>
      </c>
      <c r="R7" s="99" t="s">
        <v>77</v>
      </c>
      <c r="S7" s="99" t="s">
        <v>77</v>
      </c>
      <c r="T7" s="99" t="s">
        <v>77</v>
      </c>
      <c r="U7" s="99" t="s">
        <v>77</v>
      </c>
      <c r="V7" s="99" t="s">
        <v>77</v>
      </c>
      <c r="W7" s="99" t="s">
        <v>77</v>
      </c>
      <c r="X7" s="99" t="s">
        <v>77</v>
      </c>
      <c r="Y7" s="99" t="s">
        <v>77</v>
      </c>
      <c r="Z7" s="99" t="s">
        <v>77</v>
      </c>
      <c r="AA7" s="99" t="s">
        <v>77</v>
      </c>
      <c r="AB7" s="99" t="s">
        <v>77</v>
      </c>
      <c r="AC7" s="99" t="s">
        <v>77</v>
      </c>
      <c r="AD7" s="99" t="s">
        <v>77</v>
      </c>
      <c r="AE7" s="99" t="s">
        <v>77</v>
      </c>
      <c r="AF7" s="99" t="s">
        <v>77</v>
      </c>
      <c r="AG7" s="99" t="s">
        <v>77</v>
      </c>
      <c r="AH7" s="99" t="s">
        <v>77</v>
      </c>
      <c r="AI7" s="99" t="s">
        <v>77</v>
      </c>
      <c r="AJ7" s="99" t="s">
        <v>77</v>
      </c>
      <c r="AK7" s="99" t="s">
        <v>77</v>
      </c>
      <c r="AL7" s="99" t="s">
        <v>77</v>
      </c>
      <c r="AM7" s="99" t="s">
        <v>77</v>
      </c>
      <c r="AN7" s="99" t="s">
        <v>77</v>
      </c>
      <c r="AO7" s="99" t="s">
        <v>77</v>
      </c>
      <c r="AP7" s="99" t="s">
        <v>77</v>
      </c>
      <c r="AQ7" s="99" t="s">
        <v>77</v>
      </c>
      <c r="AR7" s="99" t="s">
        <v>77</v>
      </c>
      <c r="AS7" s="99" t="s">
        <v>77</v>
      </c>
      <c r="AT7" s="99" t="s">
        <v>77</v>
      </c>
      <c r="AU7" s="99" t="s">
        <v>77</v>
      </c>
      <c r="AV7" s="99" t="s">
        <v>77</v>
      </c>
      <c r="AW7" s="99" t="s">
        <v>77</v>
      </c>
      <c r="AX7" s="99" t="s">
        <v>77</v>
      </c>
      <c r="AY7" s="99" t="s">
        <v>77</v>
      </c>
      <c r="AZ7" s="99" t="s">
        <v>77</v>
      </c>
      <c r="BA7" s="99" t="s">
        <v>77</v>
      </c>
      <c r="BB7" s="99" t="s">
        <v>77</v>
      </c>
      <c r="BC7" s="99" t="s">
        <v>77</v>
      </c>
      <c r="BD7" s="99" t="s">
        <v>77</v>
      </c>
      <c r="BE7" s="99" t="s">
        <v>77</v>
      </c>
      <c r="BF7" s="99" t="s">
        <v>77</v>
      </c>
      <c r="BG7" s="99" t="s">
        <v>77</v>
      </c>
      <c r="BH7" s="99" t="s">
        <v>77</v>
      </c>
      <c r="BI7" s="99" t="s">
        <v>77</v>
      </c>
      <c r="BJ7" s="99" t="s">
        <v>77</v>
      </c>
      <c r="BK7" s="99" t="s">
        <v>77</v>
      </c>
      <c r="BL7" s="99" t="s">
        <v>77</v>
      </c>
      <c r="BM7" s="100" t="s">
        <v>77</v>
      </c>
      <c r="BN7" s="76" t="s">
        <v>16</v>
      </c>
      <c r="BO7" s="93" t="s">
        <v>77</v>
      </c>
      <c r="BP7" s="48" t="s">
        <v>20</v>
      </c>
      <c r="BQ7" s="185"/>
    </row>
    <row r="8" spans="2:69" s="1" customFormat="1" ht="27" customHeight="1" x14ac:dyDescent="0.2">
      <c r="B8" s="184"/>
      <c r="C8" s="48" t="s">
        <v>21</v>
      </c>
      <c r="D8" s="93" t="s">
        <v>77</v>
      </c>
      <c r="E8" s="50" t="s">
        <v>19</v>
      </c>
      <c r="F8" s="98" t="s">
        <v>77</v>
      </c>
      <c r="G8" s="99" t="s">
        <v>77</v>
      </c>
      <c r="H8" s="99" t="s">
        <v>77</v>
      </c>
      <c r="I8" s="99" t="s">
        <v>77</v>
      </c>
      <c r="J8" s="99" t="s">
        <v>77</v>
      </c>
      <c r="K8" s="99" t="s">
        <v>77</v>
      </c>
      <c r="L8" s="99" t="s">
        <v>77</v>
      </c>
      <c r="M8" s="99" t="s">
        <v>77</v>
      </c>
      <c r="N8" s="99" t="s">
        <v>77</v>
      </c>
      <c r="O8" s="99" t="s">
        <v>77</v>
      </c>
      <c r="P8" s="99" t="s">
        <v>77</v>
      </c>
      <c r="Q8" s="99" t="s">
        <v>77</v>
      </c>
      <c r="R8" s="99" t="s">
        <v>77</v>
      </c>
      <c r="S8" s="99" t="s">
        <v>77</v>
      </c>
      <c r="T8" s="99" t="s">
        <v>77</v>
      </c>
      <c r="U8" s="99" t="s">
        <v>77</v>
      </c>
      <c r="V8" s="99" t="s">
        <v>77</v>
      </c>
      <c r="W8" s="99" t="s">
        <v>77</v>
      </c>
      <c r="X8" s="99" t="s">
        <v>77</v>
      </c>
      <c r="Y8" s="99" t="s">
        <v>77</v>
      </c>
      <c r="Z8" s="99" t="s">
        <v>77</v>
      </c>
      <c r="AA8" s="99" t="s">
        <v>77</v>
      </c>
      <c r="AB8" s="99" t="s">
        <v>77</v>
      </c>
      <c r="AC8" s="99" t="s">
        <v>77</v>
      </c>
      <c r="AD8" s="99" t="s">
        <v>77</v>
      </c>
      <c r="AE8" s="99" t="s">
        <v>77</v>
      </c>
      <c r="AF8" s="99" t="s">
        <v>77</v>
      </c>
      <c r="AG8" s="99" t="s">
        <v>77</v>
      </c>
      <c r="AH8" s="99" t="s">
        <v>77</v>
      </c>
      <c r="AI8" s="99" t="s">
        <v>77</v>
      </c>
      <c r="AJ8" s="99" t="s">
        <v>77</v>
      </c>
      <c r="AK8" s="99" t="s">
        <v>77</v>
      </c>
      <c r="AL8" s="99" t="s">
        <v>77</v>
      </c>
      <c r="AM8" s="99" t="s">
        <v>77</v>
      </c>
      <c r="AN8" s="99" t="s">
        <v>77</v>
      </c>
      <c r="AO8" s="99" t="s">
        <v>77</v>
      </c>
      <c r="AP8" s="99" t="s">
        <v>77</v>
      </c>
      <c r="AQ8" s="99" t="s">
        <v>77</v>
      </c>
      <c r="AR8" s="99" t="s">
        <v>77</v>
      </c>
      <c r="AS8" s="99" t="s">
        <v>77</v>
      </c>
      <c r="AT8" s="99" t="s">
        <v>77</v>
      </c>
      <c r="AU8" s="99" t="s">
        <v>77</v>
      </c>
      <c r="AV8" s="99" t="s">
        <v>77</v>
      </c>
      <c r="AW8" s="99" t="s">
        <v>77</v>
      </c>
      <c r="AX8" s="99" t="s">
        <v>77</v>
      </c>
      <c r="AY8" s="99" t="s">
        <v>77</v>
      </c>
      <c r="AZ8" s="99" t="s">
        <v>77</v>
      </c>
      <c r="BA8" s="99" t="s">
        <v>77</v>
      </c>
      <c r="BB8" s="99" t="s">
        <v>77</v>
      </c>
      <c r="BC8" s="99" t="s">
        <v>77</v>
      </c>
      <c r="BD8" s="99" t="s">
        <v>77</v>
      </c>
      <c r="BE8" s="99" t="s">
        <v>77</v>
      </c>
      <c r="BF8" s="99" t="s">
        <v>77</v>
      </c>
      <c r="BG8" s="99" t="s">
        <v>77</v>
      </c>
      <c r="BH8" s="99" t="s">
        <v>77</v>
      </c>
      <c r="BI8" s="99" t="s">
        <v>77</v>
      </c>
      <c r="BJ8" s="99" t="s">
        <v>77</v>
      </c>
      <c r="BK8" s="99" t="s">
        <v>77</v>
      </c>
      <c r="BL8" s="99" t="s">
        <v>77</v>
      </c>
      <c r="BM8" s="100" t="s">
        <v>77</v>
      </c>
      <c r="BN8" s="76" t="s">
        <v>19</v>
      </c>
      <c r="BO8" s="93" t="s">
        <v>77</v>
      </c>
      <c r="BP8" s="48" t="s">
        <v>23</v>
      </c>
      <c r="BQ8" s="185"/>
    </row>
    <row r="9" spans="2:69" s="1" customFormat="1" ht="27" customHeight="1" x14ac:dyDescent="0.2">
      <c r="B9" s="184"/>
      <c r="C9" s="48" t="s">
        <v>24</v>
      </c>
      <c r="D9" s="93" t="s">
        <v>77</v>
      </c>
      <c r="E9" s="50" t="s">
        <v>22</v>
      </c>
      <c r="F9" s="98" t="s">
        <v>77</v>
      </c>
      <c r="G9" s="99" t="s">
        <v>77</v>
      </c>
      <c r="H9" s="99" t="s">
        <v>77</v>
      </c>
      <c r="I9" s="99" t="s">
        <v>77</v>
      </c>
      <c r="J9" s="99" t="s">
        <v>77</v>
      </c>
      <c r="K9" s="99" t="s">
        <v>77</v>
      </c>
      <c r="L9" s="99" t="s">
        <v>77</v>
      </c>
      <c r="M9" s="99" t="s">
        <v>77</v>
      </c>
      <c r="N9" s="99" t="s">
        <v>77</v>
      </c>
      <c r="O9" s="99" t="s">
        <v>77</v>
      </c>
      <c r="P9" s="99" t="s">
        <v>77</v>
      </c>
      <c r="Q9" s="99" t="s">
        <v>77</v>
      </c>
      <c r="R9" s="99" t="s">
        <v>77</v>
      </c>
      <c r="S9" s="99" t="s">
        <v>77</v>
      </c>
      <c r="T9" s="99" t="s">
        <v>77</v>
      </c>
      <c r="U9" s="99" t="s">
        <v>77</v>
      </c>
      <c r="V9" s="99" t="s">
        <v>77</v>
      </c>
      <c r="W9" s="99" t="s">
        <v>77</v>
      </c>
      <c r="X9" s="99" t="s">
        <v>77</v>
      </c>
      <c r="Y9" s="99" t="s">
        <v>77</v>
      </c>
      <c r="Z9" s="99" t="s">
        <v>77</v>
      </c>
      <c r="AA9" s="99" t="s">
        <v>77</v>
      </c>
      <c r="AB9" s="99" t="s">
        <v>77</v>
      </c>
      <c r="AC9" s="99" t="s">
        <v>77</v>
      </c>
      <c r="AD9" s="99" t="s">
        <v>77</v>
      </c>
      <c r="AE9" s="99" t="s">
        <v>77</v>
      </c>
      <c r="AF9" s="99" t="s">
        <v>77</v>
      </c>
      <c r="AG9" s="99" t="s">
        <v>77</v>
      </c>
      <c r="AH9" s="99" t="s">
        <v>77</v>
      </c>
      <c r="AI9" s="99" t="s">
        <v>77</v>
      </c>
      <c r="AJ9" s="99" t="s">
        <v>77</v>
      </c>
      <c r="AK9" s="99" t="s">
        <v>77</v>
      </c>
      <c r="AL9" s="99" t="s">
        <v>77</v>
      </c>
      <c r="AM9" s="99" t="s">
        <v>77</v>
      </c>
      <c r="AN9" s="99" t="s">
        <v>77</v>
      </c>
      <c r="AO9" s="99" t="s">
        <v>77</v>
      </c>
      <c r="AP9" s="99" t="s">
        <v>77</v>
      </c>
      <c r="AQ9" s="99" t="s">
        <v>77</v>
      </c>
      <c r="AR9" s="99" t="s">
        <v>77</v>
      </c>
      <c r="AS9" s="99" t="s">
        <v>77</v>
      </c>
      <c r="AT9" s="99" t="s">
        <v>77</v>
      </c>
      <c r="AU9" s="99" t="s">
        <v>77</v>
      </c>
      <c r="AV9" s="99" t="s">
        <v>77</v>
      </c>
      <c r="AW9" s="99" t="s">
        <v>77</v>
      </c>
      <c r="AX9" s="99" t="s">
        <v>77</v>
      </c>
      <c r="AY9" s="99" t="s">
        <v>77</v>
      </c>
      <c r="AZ9" s="99" t="s">
        <v>77</v>
      </c>
      <c r="BA9" s="99" t="s">
        <v>77</v>
      </c>
      <c r="BB9" s="99" t="s">
        <v>77</v>
      </c>
      <c r="BC9" s="99" t="s">
        <v>77</v>
      </c>
      <c r="BD9" s="99" t="s">
        <v>77</v>
      </c>
      <c r="BE9" s="99" t="s">
        <v>77</v>
      </c>
      <c r="BF9" s="99" t="s">
        <v>77</v>
      </c>
      <c r="BG9" s="99" t="s">
        <v>77</v>
      </c>
      <c r="BH9" s="99" t="s">
        <v>77</v>
      </c>
      <c r="BI9" s="99" t="s">
        <v>77</v>
      </c>
      <c r="BJ9" s="99" t="s">
        <v>77</v>
      </c>
      <c r="BK9" s="99" t="s">
        <v>77</v>
      </c>
      <c r="BL9" s="99" t="s">
        <v>77</v>
      </c>
      <c r="BM9" s="100" t="s">
        <v>77</v>
      </c>
      <c r="BN9" s="76" t="s">
        <v>22</v>
      </c>
      <c r="BO9" s="93" t="s">
        <v>77</v>
      </c>
      <c r="BP9" s="48" t="s">
        <v>26</v>
      </c>
      <c r="BQ9" s="185"/>
    </row>
    <row r="10" spans="2:69" s="1" customFormat="1" ht="27" customHeight="1" x14ac:dyDescent="0.2">
      <c r="B10" s="184"/>
      <c r="C10" s="48" t="s">
        <v>27</v>
      </c>
      <c r="D10" s="93" t="s">
        <v>77</v>
      </c>
      <c r="E10" s="50" t="s">
        <v>25</v>
      </c>
      <c r="F10" s="98" t="s">
        <v>77</v>
      </c>
      <c r="G10" s="99" t="s">
        <v>77</v>
      </c>
      <c r="H10" s="99" t="s">
        <v>77</v>
      </c>
      <c r="I10" s="99" t="s">
        <v>77</v>
      </c>
      <c r="J10" s="99" t="s">
        <v>77</v>
      </c>
      <c r="K10" s="99" t="s">
        <v>77</v>
      </c>
      <c r="L10" s="99" t="s">
        <v>77</v>
      </c>
      <c r="M10" s="99" t="s">
        <v>77</v>
      </c>
      <c r="N10" s="99" t="s">
        <v>77</v>
      </c>
      <c r="O10" s="99" t="s">
        <v>77</v>
      </c>
      <c r="P10" s="99" t="s">
        <v>77</v>
      </c>
      <c r="Q10" s="99" t="s">
        <v>77</v>
      </c>
      <c r="R10" s="99" t="s">
        <v>77</v>
      </c>
      <c r="S10" s="99" t="s">
        <v>77</v>
      </c>
      <c r="T10" s="99" t="s">
        <v>77</v>
      </c>
      <c r="U10" s="99" t="s">
        <v>77</v>
      </c>
      <c r="V10" s="99" t="s">
        <v>77</v>
      </c>
      <c r="W10" s="99" t="s">
        <v>77</v>
      </c>
      <c r="X10" s="99" t="s">
        <v>77</v>
      </c>
      <c r="Y10" s="99" t="s">
        <v>77</v>
      </c>
      <c r="Z10" s="99" t="s">
        <v>77</v>
      </c>
      <c r="AA10" s="99" t="s">
        <v>77</v>
      </c>
      <c r="AB10" s="99" t="s">
        <v>77</v>
      </c>
      <c r="AC10" s="99" t="s">
        <v>77</v>
      </c>
      <c r="AD10" s="99" t="s">
        <v>77</v>
      </c>
      <c r="AE10" s="99" t="s">
        <v>77</v>
      </c>
      <c r="AF10" s="99" t="s">
        <v>77</v>
      </c>
      <c r="AG10" s="99" t="s">
        <v>77</v>
      </c>
      <c r="AH10" s="99" t="s">
        <v>77</v>
      </c>
      <c r="AI10" s="99" t="s">
        <v>77</v>
      </c>
      <c r="AJ10" s="99" t="s">
        <v>77</v>
      </c>
      <c r="AK10" s="99" t="s">
        <v>77</v>
      </c>
      <c r="AL10" s="99" t="s">
        <v>77</v>
      </c>
      <c r="AM10" s="99" t="s">
        <v>77</v>
      </c>
      <c r="AN10" s="99" t="s">
        <v>77</v>
      </c>
      <c r="AO10" s="99" t="s">
        <v>77</v>
      </c>
      <c r="AP10" s="99" t="s">
        <v>77</v>
      </c>
      <c r="AQ10" s="99" t="s">
        <v>77</v>
      </c>
      <c r="AR10" s="99" t="s">
        <v>77</v>
      </c>
      <c r="AS10" s="99" t="s">
        <v>77</v>
      </c>
      <c r="AT10" s="99" t="s">
        <v>77</v>
      </c>
      <c r="AU10" s="99" t="s">
        <v>77</v>
      </c>
      <c r="AV10" s="99" t="s">
        <v>77</v>
      </c>
      <c r="AW10" s="99" t="s">
        <v>77</v>
      </c>
      <c r="AX10" s="99" t="s">
        <v>77</v>
      </c>
      <c r="AY10" s="99" t="s">
        <v>77</v>
      </c>
      <c r="AZ10" s="99" t="s">
        <v>77</v>
      </c>
      <c r="BA10" s="99" t="s">
        <v>77</v>
      </c>
      <c r="BB10" s="99" t="s">
        <v>77</v>
      </c>
      <c r="BC10" s="99" t="s">
        <v>77</v>
      </c>
      <c r="BD10" s="99" t="s">
        <v>77</v>
      </c>
      <c r="BE10" s="99" t="s">
        <v>77</v>
      </c>
      <c r="BF10" s="99" t="s">
        <v>77</v>
      </c>
      <c r="BG10" s="99" t="s">
        <v>77</v>
      </c>
      <c r="BH10" s="99" t="s">
        <v>77</v>
      </c>
      <c r="BI10" s="99" t="s">
        <v>77</v>
      </c>
      <c r="BJ10" s="99" t="s">
        <v>77</v>
      </c>
      <c r="BK10" s="99" t="s">
        <v>77</v>
      </c>
      <c r="BL10" s="99" t="s">
        <v>77</v>
      </c>
      <c r="BM10" s="100" t="s">
        <v>77</v>
      </c>
      <c r="BN10" s="76" t="s">
        <v>25</v>
      </c>
      <c r="BO10" s="93" t="s">
        <v>77</v>
      </c>
      <c r="BP10" s="48" t="s">
        <v>29</v>
      </c>
      <c r="BQ10" s="185"/>
    </row>
    <row r="11" spans="2:69" s="1" customFormat="1" ht="27" customHeight="1" x14ac:dyDescent="0.2">
      <c r="B11" s="184"/>
      <c r="C11" s="48" t="s">
        <v>30</v>
      </c>
      <c r="D11" s="93" t="s">
        <v>77</v>
      </c>
      <c r="E11" s="50" t="s">
        <v>28</v>
      </c>
      <c r="F11" s="98" t="s">
        <v>77</v>
      </c>
      <c r="G11" s="99" t="s">
        <v>77</v>
      </c>
      <c r="H11" s="99" t="s">
        <v>77</v>
      </c>
      <c r="I11" s="99" t="s">
        <v>77</v>
      </c>
      <c r="J11" s="99" t="s">
        <v>77</v>
      </c>
      <c r="K11" s="99" t="s">
        <v>77</v>
      </c>
      <c r="L11" s="99" t="s">
        <v>77</v>
      </c>
      <c r="M11" s="99" t="s">
        <v>77</v>
      </c>
      <c r="N11" s="99" t="s">
        <v>77</v>
      </c>
      <c r="O11" s="99" t="s">
        <v>77</v>
      </c>
      <c r="P11" s="99" t="s">
        <v>77</v>
      </c>
      <c r="Q11" s="99" t="s">
        <v>77</v>
      </c>
      <c r="R11" s="99" t="s">
        <v>77</v>
      </c>
      <c r="S11" s="99" t="s">
        <v>77</v>
      </c>
      <c r="T11" s="99" t="s">
        <v>77</v>
      </c>
      <c r="U11" s="99" t="s">
        <v>77</v>
      </c>
      <c r="V11" s="99" t="s">
        <v>77</v>
      </c>
      <c r="W11" s="99" t="s">
        <v>77</v>
      </c>
      <c r="X11" s="99" t="s">
        <v>77</v>
      </c>
      <c r="Y11" s="99" t="s">
        <v>77</v>
      </c>
      <c r="Z11" s="99" t="s">
        <v>77</v>
      </c>
      <c r="AA11" s="99" t="s">
        <v>77</v>
      </c>
      <c r="AB11" s="99" t="s">
        <v>77</v>
      </c>
      <c r="AC11" s="99" t="s">
        <v>77</v>
      </c>
      <c r="AD11" s="99" t="s">
        <v>77</v>
      </c>
      <c r="AE11" s="99" t="s">
        <v>77</v>
      </c>
      <c r="AF11" s="99" t="s">
        <v>77</v>
      </c>
      <c r="AG11" s="99" t="s">
        <v>77</v>
      </c>
      <c r="AH11" s="99" t="s">
        <v>77</v>
      </c>
      <c r="AI11" s="99" t="s">
        <v>77</v>
      </c>
      <c r="AJ11" s="99" t="s">
        <v>77</v>
      </c>
      <c r="AK11" s="99" t="s">
        <v>77</v>
      </c>
      <c r="AL11" s="99" t="s">
        <v>77</v>
      </c>
      <c r="AM11" s="99" t="s">
        <v>77</v>
      </c>
      <c r="AN11" s="99" t="s">
        <v>77</v>
      </c>
      <c r="AO11" s="99" t="s">
        <v>77</v>
      </c>
      <c r="AP11" s="99" t="s">
        <v>77</v>
      </c>
      <c r="AQ11" s="99" t="s">
        <v>77</v>
      </c>
      <c r="AR11" s="99" t="s">
        <v>77</v>
      </c>
      <c r="AS11" s="99" t="s">
        <v>77</v>
      </c>
      <c r="AT11" s="99" t="s">
        <v>77</v>
      </c>
      <c r="AU11" s="99" t="s">
        <v>77</v>
      </c>
      <c r="AV11" s="99" t="s">
        <v>77</v>
      </c>
      <c r="AW11" s="99" t="s">
        <v>77</v>
      </c>
      <c r="AX11" s="99" t="s">
        <v>77</v>
      </c>
      <c r="AY11" s="99" t="s">
        <v>77</v>
      </c>
      <c r="AZ11" s="99" t="s">
        <v>77</v>
      </c>
      <c r="BA11" s="99" t="s">
        <v>77</v>
      </c>
      <c r="BB11" s="99" t="s">
        <v>77</v>
      </c>
      <c r="BC11" s="99" t="s">
        <v>77</v>
      </c>
      <c r="BD11" s="99" t="s">
        <v>77</v>
      </c>
      <c r="BE11" s="99" t="s">
        <v>77</v>
      </c>
      <c r="BF11" s="99" t="s">
        <v>77</v>
      </c>
      <c r="BG11" s="99" t="s">
        <v>77</v>
      </c>
      <c r="BH11" s="99" t="s">
        <v>77</v>
      </c>
      <c r="BI11" s="99" t="s">
        <v>77</v>
      </c>
      <c r="BJ11" s="99" t="s">
        <v>77</v>
      </c>
      <c r="BK11" s="99" t="s">
        <v>77</v>
      </c>
      <c r="BL11" s="99" t="s">
        <v>77</v>
      </c>
      <c r="BM11" s="100" t="s">
        <v>77</v>
      </c>
      <c r="BN11" s="76" t="s">
        <v>28</v>
      </c>
      <c r="BO11" s="93" t="s">
        <v>77</v>
      </c>
      <c r="BP11" s="48" t="s">
        <v>32</v>
      </c>
      <c r="BQ11" s="185"/>
    </row>
    <row r="12" spans="2:69" s="1" customFormat="1" ht="27" customHeight="1" x14ac:dyDescent="0.2">
      <c r="B12" s="184"/>
      <c r="C12" s="48" t="s">
        <v>33</v>
      </c>
      <c r="D12" s="93" t="s">
        <v>77</v>
      </c>
      <c r="E12" s="50" t="s">
        <v>31</v>
      </c>
      <c r="F12" s="98" t="s">
        <v>77</v>
      </c>
      <c r="G12" s="99" t="s">
        <v>77</v>
      </c>
      <c r="H12" s="99" t="s">
        <v>77</v>
      </c>
      <c r="I12" s="99" t="s">
        <v>77</v>
      </c>
      <c r="J12" s="99" t="s">
        <v>77</v>
      </c>
      <c r="K12" s="99" t="s">
        <v>77</v>
      </c>
      <c r="L12" s="99" t="s">
        <v>77</v>
      </c>
      <c r="M12" s="99" t="s">
        <v>77</v>
      </c>
      <c r="N12" s="99" t="s">
        <v>77</v>
      </c>
      <c r="O12" s="99" t="s">
        <v>77</v>
      </c>
      <c r="P12" s="99" t="s">
        <v>77</v>
      </c>
      <c r="Q12" s="99" t="s">
        <v>77</v>
      </c>
      <c r="R12" s="99" t="s">
        <v>77</v>
      </c>
      <c r="S12" s="99" t="s">
        <v>77</v>
      </c>
      <c r="T12" s="99" t="s">
        <v>77</v>
      </c>
      <c r="U12" s="99" t="s">
        <v>77</v>
      </c>
      <c r="V12" s="99" t="s">
        <v>77</v>
      </c>
      <c r="W12" s="99" t="s">
        <v>77</v>
      </c>
      <c r="X12" s="99" t="s">
        <v>77</v>
      </c>
      <c r="Y12" s="99" t="s">
        <v>77</v>
      </c>
      <c r="Z12" s="99" t="s">
        <v>77</v>
      </c>
      <c r="AA12" s="99" t="s">
        <v>77</v>
      </c>
      <c r="AB12" s="99" t="s">
        <v>77</v>
      </c>
      <c r="AC12" s="99" t="s">
        <v>77</v>
      </c>
      <c r="AD12" s="99" t="s">
        <v>77</v>
      </c>
      <c r="AE12" s="99" t="s">
        <v>77</v>
      </c>
      <c r="AF12" s="99" t="s">
        <v>77</v>
      </c>
      <c r="AG12" s="99" t="s">
        <v>77</v>
      </c>
      <c r="AH12" s="99" t="s">
        <v>77</v>
      </c>
      <c r="AI12" s="99" t="s">
        <v>77</v>
      </c>
      <c r="AJ12" s="99" t="s">
        <v>77</v>
      </c>
      <c r="AK12" s="99" t="s">
        <v>77</v>
      </c>
      <c r="AL12" s="99" t="s">
        <v>77</v>
      </c>
      <c r="AM12" s="99" t="s">
        <v>77</v>
      </c>
      <c r="AN12" s="99" t="s">
        <v>77</v>
      </c>
      <c r="AO12" s="99" t="s">
        <v>77</v>
      </c>
      <c r="AP12" s="99" t="s">
        <v>77</v>
      </c>
      <c r="AQ12" s="99" t="s">
        <v>77</v>
      </c>
      <c r="AR12" s="99" t="s">
        <v>77</v>
      </c>
      <c r="AS12" s="99" t="s">
        <v>77</v>
      </c>
      <c r="AT12" s="99" t="s">
        <v>77</v>
      </c>
      <c r="AU12" s="99" t="s">
        <v>77</v>
      </c>
      <c r="AV12" s="99" t="s">
        <v>77</v>
      </c>
      <c r="AW12" s="99" t="s">
        <v>77</v>
      </c>
      <c r="AX12" s="99" t="s">
        <v>77</v>
      </c>
      <c r="AY12" s="99" t="s">
        <v>77</v>
      </c>
      <c r="AZ12" s="99" t="s">
        <v>77</v>
      </c>
      <c r="BA12" s="99" t="s">
        <v>77</v>
      </c>
      <c r="BB12" s="99" t="s">
        <v>77</v>
      </c>
      <c r="BC12" s="99" t="s">
        <v>77</v>
      </c>
      <c r="BD12" s="99" t="s">
        <v>77</v>
      </c>
      <c r="BE12" s="99" t="s">
        <v>77</v>
      </c>
      <c r="BF12" s="99" t="s">
        <v>77</v>
      </c>
      <c r="BG12" s="99" t="s">
        <v>77</v>
      </c>
      <c r="BH12" s="99" t="s">
        <v>77</v>
      </c>
      <c r="BI12" s="99" t="s">
        <v>77</v>
      </c>
      <c r="BJ12" s="99" t="s">
        <v>77</v>
      </c>
      <c r="BK12" s="99" t="s">
        <v>77</v>
      </c>
      <c r="BL12" s="99" t="s">
        <v>77</v>
      </c>
      <c r="BM12" s="100" t="s">
        <v>77</v>
      </c>
      <c r="BN12" s="76" t="s">
        <v>31</v>
      </c>
      <c r="BO12" s="93" t="s">
        <v>77</v>
      </c>
      <c r="BP12" s="48" t="s">
        <v>35</v>
      </c>
      <c r="BQ12" s="185"/>
    </row>
    <row r="13" spans="2:69" s="1" customFormat="1" ht="27" customHeight="1" x14ac:dyDescent="0.2">
      <c r="B13" s="184"/>
      <c r="C13" s="48" t="s">
        <v>36</v>
      </c>
      <c r="D13" s="93" t="s">
        <v>77</v>
      </c>
      <c r="E13" s="50" t="s">
        <v>34</v>
      </c>
      <c r="F13" s="98" t="s">
        <v>77</v>
      </c>
      <c r="G13" s="99" t="s">
        <v>77</v>
      </c>
      <c r="H13" s="99" t="s">
        <v>77</v>
      </c>
      <c r="I13" s="99" t="s">
        <v>77</v>
      </c>
      <c r="J13" s="99" t="s">
        <v>77</v>
      </c>
      <c r="K13" s="99" t="s">
        <v>77</v>
      </c>
      <c r="L13" s="99" t="s">
        <v>77</v>
      </c>
      <c r="M13" s="99" t="s">
        <v>77</v>
      </c>
      <c r="N13" s="99" t="s">
        <v>77</v>
      </c>
      <c r="O13" s="99" t="s">
        <v>77</v>
      </c>
      <c r="P13" s="99" t="s">
        <v>77</v>
      </c>
      <c r="Q13" s="99" t="s">
        <v>77</v>
      </c>
      <c r="R13" s="99" t="s">
        <v>77</v>
      </c>
      <c r="S13" s="99" t="s">
        <v>77</v>
      </c>
      <c r="T13" s="99" t="s">
        <v>77</v>
      </c>
      <c r="U13" s="99" t="s">
        <v>77</v>
      </c>
      <c r="V13" s="99" t="s">
        <v>77</v>
      </c>
      <c r="W13" s="99" t="s">
        <v>77</v>
      </c>
      <c r="X13" s="99" t="s">
        <v>77</v>
      </c>
      <c r="Y13" s="99" t="s">
        <v>77</v>
      </c>
      <c r="Z13" s="99" t="s">
        <v>77</v>
      </c>
      <c r="AA13" s="99" t="s">
        <v>77</v>
      </c>
      <c r="AB13" s="99" t="s">
        <v>77</v>
      </c>
      <c r="AC13" s="99" t="s">
        <v>77</v>
      </c>
      <c r="AD13" s="99" t="s">
        <v>77</v>
      </c>
      <c r="AE13" s="99" t="s">
        <v>77</v>
      </c>
      <c r="AF13" s="99" t="s">
        <v>77</v>
      </c>
      <c r="AG13" s="99" t="s">
        <v>77</v>
      </c>
      <c r="AH13" s="99" t="s">
        <v>77</v>
      </c>
      <c r="AI13" s="99" t="s">
        <v>77</v>
      </c>
      <c r="AJ13" s="99" t="s">
        <v>77</v>
      </c>
      <c r="AK13" s="99" t="s">
        <v>77</v>
      </c>
      <c r="AL13" s="99" t="s">
        <v>77</v>
      </c>
      <c r="AM13" s="99" t="s">
        <v>77</v>
      </c>
      <c r="AN13" s="99" t="s">
        <v>77</v>
      </c>
      <c r="AO13" s="99" t="s">
        <v>77</v>
      </c>
      <c r="AP13" s="99" t="s">
        <v>77</v>
      </c>
      <c r="AQ13" s="99" t="s">
        <v>77</v>
      </c>
      <c r="AR13" s="99" t="s">
        <v>77</v>
      </c>
      <c r="AS13" s="99" t="s">
        <v>77</v>
      </c>
      <c r="AT13" s="99" t="s">
        <v>77</v>
      </c>
      <c r="AU13" s="99" t="s">
        <v>77</v>
      </c>
      <c r="AV13" s="99" t="s">
        <v>77</v>
      </c>
      <c r="AW13" s="99" t="s">
        <v>77</v>
      </c>
      <c r="AX13" s="99" t="s">
        <v>77</v>
      </c>
      <c r="AY13" s="99" t="s">
        <v>77</v>
      </c>
      <c r="AZ13" s="99" t="s">
        <v>77</v>
      </c>
      <c r="BA13" s="99" t="s">
        <v>77</v>
      </c>
      <c r="BB13" s="99" t="s">
        <v>77</v>
      </c>
      <c r="BC13" s="99" t="s">
        <v>77</v>
      </c>
      <c r="BD13" s="99" t="s">
        <v>77</v>
      </c>
      <c r="BE13" s="99" t="s">
        <v>77</v>
      </c>
      <c r="BF13" s="99" t="s">
        <v>77</v>
      </c>
      <c r="BG13" s="99" t="s">
        <v>77</v>
      </c>
      <c r="BH13" s="99" t="s">
        <v>77</v>
      </c>
      <c r="BI13" s="99" t="s">
        <v>77</v>
      </c>
      <c r="BJ13" s="99" t="s">
        <v>77</v>
      </c>
      <c r="BK13" s="99" t="s">
        <v>77</v>
      </c>
      <c r="BL13" s="99" t="s">
        <v>77</v>
      </c>
      <c r="BM13" s="100" t="s">
        <v>77</v>
      </c>
      <c r="BN13" s="76" t="s">
        <v>34</v>
      </c>
      <c r="BO13" s="93" t="s">
        <v>77</v>
      </c>
      <c r="BP13" s="48" t="s">
        <v>38</v>
      </c>
      <c r="BQ13" s="185"/>
    </row>
    <row r="14" spans="2:69" s="1" customFormat="1" ht="27" customHeight="1" x14ac:dyDescent="0.2">
      <c r="B14" s="184"/>
      <c r="C14" s="48" t="s">
        <v>39</v>
      </c>
      <c r="D14" s="94" t="s">
        <v>77</v>
      </c>
      <c r="E14" s="50" t="s">
        <v>37</v>
      </c>
      <c r="F14" s="98" t="s">
        <v>77</v>
      </c>
      <c r="G14" s="99" t="s">
        <v>77</v>
      </c>
      <c r="H14" s="99" t="s">
        <v>77</v>
      </c>
      <c r="I14" s="99" t="s">
        <v>77</v>
      </c>
      <c r="J14" s="99" t="s">
        <v>77</v>
      </c>
      <c r="K14" s="99" t="s">
        <v>77</v>
      </c>
      <c r="L14" s="99" t="s">
        <v>77</v>
      </c>
      <c r="M14" s="99" t="s">
        <v>77</v>
      </c>
      <c r="N14" s="99" t="s">
        <v>77</v>
      </c>
      <c r="O14" s="99" t="s">
        <v>77</v>
      </c>
      <c r="P14" s="99" t="s">
        <v>77</v>
      </c>
      <c r="Q14" s="99" t="s">
        <v>77</v>
      </c>
      <c r="R14" s="99" t="s">
        <v>77</v>
      </c>
      <c r="S14" s="99" t="s">
        <v>77</v>
      </c>
      <c r="T14" s="99" t="s">
        <v>77</v>
      </c>
      <c r="U14" s="99" t="s">
        <v>77</v>
      </c>
      <c r="V14" s="99" t="s">
        <v>77</v>
      </c>
      <c r="W14" s="99" t="s">
        <v>77</v>
      </c>
      <c r="X14" s="99" t="s">
        <v>77</v>
      </c>
      <c r="Y14" s="99" t="s">
        <v>77</v>
      </c>
      <c r="Z14" s="99" t="s">
        <v>77</v>
      </c>
      <c r="AA14" s="99" t="s">
        <v>77</v>
      </c>
      <c r="AB14" s="99" t="s">
        <v>77</v>
      </c>
      <c r="AC14" s="99" t="s">
        <v>77</v>
      </c>
      <c r="AD14" s="99" t="s">
        <v>77</v>
      </c>
      <c r="AE14" s="99" t="s">
        <v>77</v>
      </c>
      <c r="AF14" s="99" t="s">
        <v>77</v>
      </c>
      <c r="AG14" s="99" t="s">
        <v>77</v>
      </c>
      <c r="AH14" s="99" t="s">
        <v>77</v>
      </c>
      <c r="AI14" s="99" t="s">
        <v>77</v>
      </c>
      <c r="AJ14" s="99" t="s">
        <v>77</v>
      </c>
      <c r="AK14" s="99" t="s">
        <v>77</v>
      </c>
      <c r="AL14" s="99" t="s">
        <v>77</v>
      </c>
      <c r="AM14" s="99" t="s">
        <v>77</v>
      </c>
      <c r="AN14" s="99" t="s">
        <v>77</v>
      </c>
      <c r="AO14" s="99" t="s">
        <v>77</v>
      </c>
      <c r="AP14" s="99" t="s">
        <v>77</v>
      </c>
      <c r="AQ14" s="99" t="s">
        <v>77</v>
      </c>
      <c r="AR14" s="99" t="s">
        <v>77</v>
      </c>
      <c r="AS14" s="99" t="s">
        <v>77</v>
      </c>
      <c r="AT14" s="99" t="s">
        <v>77</v>
      </c>
      <c r="AU14" s="99" t="s">
        <v>77</v>
      </c>
      <c r="AV14" s="99" t="s">
        <v>77</v>
      </c>
      <c r="AW14" s="99" t="s">
        <v>77</v>
      </c>
      <c r="AX14" s="99" t="s">
        <v>77</v>
      </c>
      <c r="AY14" s="99" t="s">
        <v>77</v>
      </c>
      <c r="AZ14" s="99" t="s">
        <v>77</v>
      </c>
      <c r="BA14" s="99" t="s">
        <v>77</v>
      </c>
      <c r="BB14" s="99" t="s">
        <v>77</v>
      </c>
      <c r="BC14" s="99" t="s">
        <v>77</v>
      </c>
      <c r="BD14" s="99" t="s">
        <v>77</v>
      </c>
      <c r="BE14" s="99" t="s">
        <v>77</v>
      </c>
      <c r="BF14" s="99" t="s">
        <v>77</v>
      </c>
      <c r="BG14" s="99" t="s">
        <v>77</v>
      </c>
      <c r="BH14" s="99" t="s">
        <v>77</v>
      </c>
      <c r="BI14" s="99" t="s">
        <v>77</v>
      </c>
      <c r="BJ14" s="99" t="s">
        <v>77</v>
      </c>
      <c r="BK14" s="99" t="s">
        <v>77</v>
      </c>
      <c r="BL14" s="99" t="s">
        <v>77</v>
      </c>
      <c r="BM14" s="100" t="s">
        <v>77</v>
      </c>
      <c r="BN14" s="76" t="s">
        <v>37</v>
      </c>
      <c r="BO14" s="94" t="s">
        <v>77</v>
      </c>
      <c r="BP14" s="48" t="s">
        <v>41</v>
      </c>
      <c r="BQ14" s="185"/>
    </row>
    <row r="15" spans="2:69" s="1" customFormat="1" ht="9" customHeight="1" x14ac:dyDescent="0.2">
      <c r="B15" s="184"/>
      <c r="C15" s="75"/>
      <c r="D15" s="104"/>
      <c r="E15" s="75"/>
      <c r="F15" s="98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  <c r="BM15" s="100"/>
      <c r="BN15" s="75"/>
      <c r="BO15" s="94"/>
      <c r="BP15" s="75"/>
      <c r="BQ15" s="185"/>
    </row>
    <row r="16" spans="2:69" s="1" customFormat="1" ht="27" customHeight="1" x14ac:dyDescent="0.2">
      <c r="B16" s="184"/>
      <c r="C16" s="73" t="s">
        <v>42</v>
      </c>
      <c r="D16" s="105" t="s">
        <v>77</v>
      </c>
      <c r="E16" s="74" t="s">
        <v>40</v>
      </c>
      <c r="F16" s="98" t="s">
        <v>77</v>
      </c>
      <c r="G16" s="99" t="s">
        <v>77</v>
      </c>
      <c r="H16" s="99" t="s">
        <v>77</v>
      </c>
      <c r="I16" s="99" t="s">
        <v>77</v>
      </c>
      <c r="J16" s="99" t="s">
        <v>77</v>
      </c>
      <c r="K16" s="99" t="s">
        <v>77</v>
      </c>
      <c r="L16" s="99" t="s">
        <v>77</v>
      </c>
      <c r="M16" s="99" t="s">
        <v>77</v>
      </c>
      <c r="N16" s="99" t="s">
        <v>77</v>
      </c>
      <c r="O16" s="99" t="s">
        <v>77</v>
      </c>
      <c r="P16" s="99" t="s">
        <v>77</v>
      </c>
      <c r="Q16" s="99" t="s">
        <v>77</v>
      </c>
      <c r="R16" s="99" t="s">
        <v>77</v>
      </c>
      <c r="S16" s="99" t="s">
        <v>77</v>
      </c>
      <c r="T16" s="99" t="s">
        <v>77</v>
      </c>
      <c r="U16" s="99" t="s">
        <v>77</v>
      </c>
      <c r="V16" s="99" t="s">
        <v>77</v>
      </c>
      <c r="W16" s="99" t="s">
        <v>77</v>
      </c>
      <c r="X16" s="99" t="s">
        <v>77</v>
      </c>
      <c r="Y16" s="99" t="s">
        <v>77</v>
      </c>
      <c r="Z16" s="99" t="s">
        <v>77</v>
      </c>
      <c r="AA16" s="99" t="s">
        <v>77</v>
      </c>
      <c r="AB16" s="99" t="s">
        <v>77</v>
      </c>
      <c r="AC16" s="99" t="s">
        <v>77</v>
      </c>
      <c r="AD16" s="99" t="s">
        <v>77</v>
      </c>
      <c r="AE16" s="99" t="s">
        <v>77</v>
      </c>
      <c r="AF16" s="99" t="s">
        <v>77</v>
      </c>
      <c r="AG16" s="99" t="s">
        <v>77</v>
      </c>
      <c r="AH16" s="99" t="s">
        <v>77</v>
      </c>
      <c r="AI16" s="99" t="s">
        <v>77</v>
      </c>
      <c r="AJ16" s="99" t="s">
        <v>77</v>
      </c>
      <c r="AK16" s="99" t="s">
        <v>77</v>
      </c>
      <c r="AL16" s="99" t="s">
        <v>77</v>
      </c>
      <c r="AM16" s="99" t="s">
        <v>77</v>
      </c>
      <c r="AN16" s="99" t="s">
        <v>77</v>
      </c>
      <c r="AO16" s="99" t="s">
        <v>77</v>
      </c>
      <c r="AP16" s="99" t="s">
        <v>77</v>
      </c>
      <c r="AQ16" s="99" t="s">
        <v>77</v>
      </c>
      <c r="AR16" s="99" t="s">
        <v>77</v>
      </c>
      <c r="AS16" s="99" t="s">
        <v>77</v>
      </c>
      <c r="AT16" s="99" t="s">
        <v>77</v>
      </c>
      <c r="AU16" s="99" t="s">
        <v>77</v>
      </c>
      <c r="AV16" s="99" t="s">
        <v>77</v>
      </c>
      <c r="AW16" s="99" t="s">
        <v>77</v>
      </c>
      <c r="AX16" s="99" t="s">
        <v>77</v>
      </c>
      <c r="AY16" s="99" t="s">
        <v>77</v>
      </c>
      <c r="AZ16" s="99" t="s">
        <v>77</v>
      </c>
      <c r="BA16" s="99" t="s">
        <v>77</v>
      </c>
      <c r="BB16" s="99" t="s">
        <v>77</v>
      </c>
      <c r="BC16" s="99" t="s">
        <v>77</v>
      </c>
      <c r="BD16" s="99" t="s">
        <v>77</v>
      </c>
      <c r="BE16" s="99" t="s">
        <v>77</v>
      </c>
      <c r="BF16" s="99" t="s">
        <v>77</v>
      </c>
      <c r="BG16" s="99" t="s">
        <v>77</v>
      </c>
      <c r="BH16" s="99" t="s">
        <v>77</v>
      </c>
      <c r="BI16" s="99" t="s">
        <v>77</v>
      </c>
      <c r="BJ16" s="99" t="s">
        <v>77</v>
      </c>
      <c r="BK16" s="99" t="s">
        <v>77</v>
      </c>
      <c r="BL16" s="99" t="s">
        <v>77</v>
      </c>
      <c r="BM16" s="100" t="s">
        <v>77</v>
      </c>
      <c r="BN16" s="77" t="s">
        <v>40</v>
      </c>
      <c r="BO16" s="94" t="s">
        <v>77</v>
      </c>
      <c r="BP16" s="73" t="s">
        <v>44</v>
      </c>
      <c r="BQ16" s="185"/>
    </row>
    <row r="17" spans="1:69" s="1" customFormat="1" ht="27" customHeight="1" x14ac:dyDescent="0.2">
      <c r="B17" s="184"/>
      <c r="C17" s="73" t="s">
        <v>45</v>
      </c>
      <c r="D17" s="105" t="s">
        <v>77</v>
      </c>
      <c r="E17" s="74" t="s">
        <v>43</v>
      </c>
      <c r="F17" s="98" t="s">
        <v>77</v>
      </c>
      <c r="G17" s="99" t="s">
        <v>77</v>
      </c>
      <c r="H17" s="99" t="s">
        <v>77</v>
      </c>
      <c r="I17" s="99" t="s">
        <v>77</v>
      </c>
      <c r="J17" s="99" t="s">
        <v>77</v>
      </c>
      <c r="K17" s="99" t="s">
        <v>77</v>
      </c>
      <c r="L17" s="99" t="s">
        <v>77</v>
      </c>
      <c r="M17" s="99" t="s">
        <v>77</v>
      </c>
      <c r="N17" s="99" t="s">
        <v>77</v>
      </c>
      <c r="O17" s="99" t="s">
        <v>77</v>
      </c>
      <c r="P17" s="99" t="s">
        <v>77</v>
      </c>
      <c r="Q17" s="99" t="s">
        <v>77</v>
      </c>
      <c r="R17" s="99" t="s">
        <v>77</v>
      </c>
      <c r="S17" s="99" t="s">
        <v>77</v>
      </c>
      <c r="T17" s="99" t="s">
        <v>77</v>
      </c>
      <c r="U17" s="99" t="s">
        <v>77</v>
      </c>
      <c r="V17" s="99" t="s">
        <v>77</v>
      </c>
      <c r="W17" s="99" t="s">
        <v>77</v>
      </c>
      <c r="X17" s="99" t="s">
        <v>77</v>
      </c>
      <c r="Y17" s="99" t="s">
        <v>77</v>
      </c>
      <c r="Z17" s="99" t="s">
        <v>77</v>
      </c>
      <c r="AA17" s="99" t="s">
        <v>77</v>
      </c>
      <c r="AB17" s="99" t="s">
        <v>77</v>
      </c>
      <c r="AC17" s="99" t="s">
        <v>77</v>
      </c>
      <c r="AD17" s="99" t="s">
        <v>77</v>
      </c>
      <c r="AE17" s="99" t="s">
        <v>77</v>
      </c>
      <c r="AF17" s="99" t="s">
        <v>77</v>
      </c>
      <c r="AG17" s="99" t="s">
        <v>77</v>
      </c>
      <c r="AH17" s="99" t="s">
        <v>77</v>
      </c>
      <c r="AI17" s="99" t="s">
        <v>77</v>
      </c>
      <c r="AJ17" s="99" t="s">
        <v>77</v>
      </c>
      <c r="AK17" s="99" t="s">
        <v>77</v>
      </c>
      <c r="AL17" s="99" t="s">
        <v>77</v>
      </c>
      <c r="AM17" s="99" t="s">
        <v>77</v>
      </c>
      <c r="AN17" s="99" t="s">
        <v>77</v>
      </c>
      <c r="AO17" s="99" t="s">
        <v>77</v>
      </c>
      <c r="AP17" s="99" t="s">
        <v>77</v>
      </c>
      <c r="AQ17" s="99" t="s">
        <v>77</v>
      </c>
      <c r="AR17" s="99" t="s">
        <v>77</v>
      </c>
      <c r="AS17" s="99" t="s">
        <v>77</v>
      </c>
      <c r="AT17" s="99" t="s">
        <v>77</v>
      </c>
      <c r="AU17" s="99" t="s">
        <v>77</v>
      </c>
      <c r="AV17" s="99" t="s">
        <v>77</v>
      </c>
      <c r="AW17" s="99" t="s">
        <v>77</v>
      </c>
      <c r="AX17" s="99" t="s">
        <v>77</v>
      </c>
      <c r="AY17" s="99" t="s">
        <v>77</v>
      </c>
      <c r="AZ17" s="99" t="s">
        <v>77</v>
      </c>
      <c r="BA17" s="99" t="s">
        <v>77</v>
      </c>
      <c r="BB17" s="99" t="s">
        <v>77</v>
      </c>
      <c r="BC17" s="99" t="s">
        <v>77</v>
      </c>
      <c r="BD17" s="99" t="s">
        <v>77</v>
      </c>
      <c r="BE17" s="99" t="s">
        <v>77</v>
      </c>
      <c r="BF17" s="99" t="s">
        <v>77</v>
      </c>
      <c r="BG17" s="99" t="s">
        <v>77</v>
      </c>
      <c r="BH17" s="99" t="s">
        <v>77</v>
      </c>
      <c r="BI17" s="99" t="s">
        <v>77</v>
      </c>
      <c r="BJ17" s="99" t="s">
        <v>77</v>
      </c>
      <c r="BK17" s="99" t="s">
        <v>77</v>
      </c>
      <c r="BL17" s="99" t="s">
        <v>77</v>
      </c>
      <c r="BM17" s="100" t="s">
        <v>77</v>
      </c>
      <c r="BN17" s="77" t="s">
        <v>43</v>
      </c>
      <c r="BO17" s="94" t="s">
        <v>77</v>
      </c>
      <c r="BP17" s="73" t="s">
        <v>47</v>
      </c>
      <c r="BQ17" s="185"/>
    </row>
    <row r="18" spans="1:69" s="1" customFormat="1" ht="27" customHeight="1" x14ac:dyDescent="0.2">
      <c r="B18" s="184"/>
      <c r="C18" s="73" t="s">
        <v>48</v>
      </c>
      <c r="D18" s="105" t="s">
        <v>77</v>
      </c>
      <c r="E18" s="74" t="s">
        <v>46</v>
      </c>
      <c r="F18" s="98" t="s">
        <v>77</v>
      </c>
      <c r="G18" s="99" t="s">
        <v>77</v>
      </c>
      <c r="H18" s="99" t="s">
        <v>77</v>
      </c>
      <c r="I18" s="99" t="s">
        <v>77</v>
      </c>
      <c r="J18" s="99" t="s">
        <v>77</v>
      </c>
      <c r="K18" s="99" t="s">
        <v>77</v>
      </c>
      <c r="L18" s="99" t="s">
        <v>77</v>
      </c>
      <c r="M18" s="99" t="s">
        <v>77</v>
      </c>
      <c r="N18" s="99" t="s">
        <v>77</v>
      </c>
      <c r="O18" s="99" t="s">
        <v>77</v>
      </c>
      <c r="P18" s="99" t="s">
        <v>77</v>
      </c>
      <c r="Q18" s="99" t="s">
        <v>77</v>
      </c>
      <c r="R18" s="99" t="s">
        <v>77</v>
      </c>
      <c r="S18" s="99" t="s">
        <v>77</v>
      </c>
      <c r="T18" s="99" t="s">
        <v>77</v>
      </c>
      <c r="U18" s="99" t="s">
        <v>77</v>
      </c>
      <c r="V18" s="99" t="s">
        <v>77</v>
      </c>
      <c r="W18" s="99" t="s">
        <v>77</v>
      </c>
      <c r="X18" s="99" t="s">
        <v>77</v>
      </c>
      <c r="Y18" s="99" t="s">
        <v>77</v>
      </c>
      <c r="Z18" s="99" t="s">
        <v>77</v>
      </c>
      <c r="AA18" s="99" t="s">
        <v>77</v>
      </c>
      <c r="AB18" s="99" t="s">
        <v>77</v>
      </c>
      <c r="AC18" s="99" t="s">
        <v>77</v>
      </c>
      <c r="AD18" s="99" t="s">
        <v>77</v>
      </c>
      <c r="AE18" s="99" t="s">
        <v>77</v>
      </c>
      <c r="AF18" s="99" t="s">
        <v>77</v>
      </c>
      <c r="AG18" s="99" t="s">
        <v>77</v>
      </c>
      <c r="AH18" s="99" t="s">
        <v>77</v>
      </c>
      <c r="AI18" s="99" t="s">
        <v>77</v>
      </c>
      <c r="AJ18" s="99" t="s">
        <v>77</v>
      </c>
      <c r="AK18" s="99" t="s">
        <v>77</v>
      </c>
      <c r="AL18" s="99" t="s">
        <v>77</v>
      </c>
      <c r="AM18" s="99" t="s">
        <v>77</v>
      </c>
      <c r="AN18" s="99" t="s">
        <v>77</v>
      </c>
      <c r="AO18" s="99" t="s">
        <v>77</v>
      </c>
      <c r="AP18" s="99" t="s">
        <v>77</v>
      </c>
      <c r="AQ18" s="99" t="s">
        <v>77</v>
      </c>
      <c r="AR18" s="99" t="s">
        <v>77</v>
      </c>
      <c r="AS18" s="99" t="s">
        <v>77</v>
      </c>
      <c r="AT18" s="99" t="s">
        <v>77</v>
      </c>
      <c r="AU18" s="99" t="s">
        <v>77</v>
      </c>
      <c r="AV18" s="99" t="s">
        <v>77</v>
      </c>
      <c r="AW18" s="99" t="s">
        <v>77</v>
      </c>
      <c r="AX18" s="99" t="s">
        <v>77</v>
      </c>
      <c r="AY18" s="99" t="s">
        <v>77</v>
      </c>
      <c r="AZ18" s="99" t="s">
        <v>77</v>
      </c>
      <c r="BA18" s="99" t="s">
        <v>77</v>
      </c>
      <c r="BB18" s="99" t="s">
        <v>77</v>
      </c>
      <c r="BC18" s="99" t="s">
        <v>77</v>
      </c>
      <c r="BD18" s="99" t="s">
        <v>77</v>
      </c>
      <c r="BE18" s="99" t="s">
        <v>77</v>
      </c>
      <c r="BF18" s="99" t="s">
        <v>77</v>
      </c>
      <c r="BG18" s="99" t="s">
        <v>77</v>
      </c>
      <c r="BH18" s="99" t="s">
        <v>77</v>
      </c>
      <c r="BI18" s="99" t="s">
        <v>77</v>
      </c>
      <c r="BJ18" s="99" t="s">
        <v>77</v>
      </c>
      <c r="BK18" s="99" t="s">
        <v>77</v>
      </c>
      <c r="BL18" s="99" t="s">
        <v>77</v>
      </c>
      <c r="BM18" s="100" t="s">
        <v>77</v>
      </c>
      <c r="BN18" s="77" t="s">
        <v>46</v>
      </c>
      <c r="BO18" s="94" t="s">
        <v>77</v>
      </c>
      <c r="BP18" s="73" t="s">
        <v>49</v>
      </c>
      <c r="BQ18" s="185"/>
    </row>
    <row r="19" spans="1:69" s="1" customFormat="1" ht="27" customHeight="1" x14ac:dyDescent="0.2">
      <c r="B19" s="184"/>
      <c r="C19" s="48" t="s">
        <v>50</v>
      </c>
      <c r="D19" s="94" t="s">
        <v>77</v>
      </c>
      <c r="E19" s="50" t="s">
        <v>69</v>
      </c>
      <c r="F19" s="98" t="s">
        <v>77</v>
      </c>
      <c r="G19" s="99"/>
      <c r="H19" s="99" t="s">
        <v>77</v>
      </c>
      <c r="I19" s="99"/>
      <c r="J19" s="99" t="s">
        <v>77</v>
      </c>
      <c r="K19" s="99"/>
      <c r="L19" s="99" t="s">
        <v>77</v>
      </c>
      <c r="M19" s="99"/>
      <c r="N19" s="99" t="s">
        <v>77</v>
      </c>
      <c r="O19" s="99"/>
      <c r="P19" s="99" t="s">
        <v>77</v>
      </c>
      <c r="Q19" s="99"/>
      <c r="R19" s="99" t="s">
        <v>77</v>
      </c>
      <c r="S19" s="99"/>
      <c r="T19" s="99" t="s">
        <v>77</v>
      </c>
      <c r="U19" s="99"/>
      <c r="V19" s="99" t="s">
        <v>77</v>
      </c>
      <c r="W19" s="99"/>
      <c r="X19" s="99" t="s">
        <v>77</v>
      </c>
      <c r="Y19" s="99"/>
      <c r="Z19" s="99" t="s">
        <v>77</v>
      </c>
      <c r="AA19" s="99"/>
      <c r="AB19" s="99" t="s">
        <v>77</v>
      </c>
      <c r="AC19" s="99"/>
      <c r="AD19" s="99" t="s">
        <v>77</v>
      </c>
      <c r="AE19" s="99"/>
      <c r="AF19" s="99" t="s">
        <v>77</v>
      </c>
      <c r="AG19" s="99"/>
      <c r="AH19" s="99" t="s">
        <v>77</v>
      </c>
      <c r="AI19" s="99"/>
      <c r="AJ19" s="99"/>
      <c r="AK19" s="99" t="s">
        <v>77</v>
      </c>
      <c r="AL19" s="99"/>
      <c r="AM19" s="99" t="s">
        <v>77</v>
      </c>
      <c r="AN19" s="99"/>
      <c r="AO19" s="99" t="s">
        <v>77</v>
      </c>
      <c r="AP19" s="99"/>
      <c r="AQ19" s="99" t="s">
        <v>77</v>
      </c>
      <c r="AR19" s="99"/>
      <c r="AS19" s="99" t="s">
        <v>77</v>
      </c>
      <c r="AT19" s="99"/>
      <c r="AU19" s="99" t="s">
        <v>77</v>
      </c>
      <c r="AV19" s="99"/>
      <c r="AW19" s="99" t="s">
        <v>77</v>
      </c>
      <c r="AX19" s="99"/>
      <c r="AY19" s="99" t="s">
        <v>77</v>
      </c>
      <c r="AZ19" s="99"/>
      <c r="BA19" s="99" t="s">
        <v>77</v>
      </c>
      <c r="BB19" s="99"/>
      <c r="BC19" s="99" t="s">
        <v>77</v>
      </c>
      <c r="BD19" s="99"/>
      <c r="BE19" s="99" t="s">
        <v>77</v>
      </c>
      <c r="BF19" s="99"/>
      <c r="BG19" s="99" t="s">
        <v>77</v>
      </c>
      <c r="BH19" s="99"/>
      <c r="BI19" s="99" t="s">
        <v>77</v>
      </c>
      <c r="BJ19" s="99"/>
      <c r="BK19" s="99" t="s">
        <v>77</v>
      </c>
      <c r="BL19" s="99"/>
      <c r="BM19" s="100" t="s">
        <v>77</v>
      </c>
      <c r="BN19" s="76" t="s">
        <v>69</v>
      </c>
      <c r="BO19" s="94" t="s">
        <v>77</v>
      </c>
      <c r="BP19" s="48" t="s">
        <v>52</v>
      </c>
      <c r="BQ19" s="185"/>
    </row>
    <row r="20" spans="1:69" s="1" customFormat="1" ht="27" customHeight="1" thickBot="1" x14ac:dyDescent="0.25">
      <c r="B20" s="184"/>
      <c r="C20" s="48" t="s">
        <v>53</v>
      </c>
      <c r="D20" s="94" t="s">
        <v>77</v>
      </c>
      <c r="E20" s="50" t="s">
        <v>70</v>
      </c>
      <c r="F20" s="101"/>
      <c r="G20" s="102" t="s">
        <v>77</v>
      </c>
      <c r="H20" s="102"/>
      <c r="I20" s="102" t="s">
        <v>77</v>
      </c>
      <c r="J20" s="102"/>
      <c r="K20" s="102" t="s">
        <v>77</v>
      </c>
      <c r="L20" s="102"/>
      <c r="M20" s="102" t="s">
        <v>77</v>
      </c>
      <c r="N20" s="102"/>
      <c r="O20" s="102" t="s">
        <v>77</v>
      </c>
      <c r="P20" s="102"/>
      <c r="Q20" s="102" t="s">
        <v>77</v>
      </c>
      <c r="R20" s="102"/>
      <c r="S20" s="102" t="s">
        <v>77</v>
      </c>
      <c r="T20" s="102"/>
      <c r="U20" s="102" t="s">
        <v>77</v>
      </c>
      <c r="V20" s="102"/>
      <c r="W20" s="102" t="s">
        <v>77</v>
      </c>
      <c r="X20" s="102"/>
      <c r="Y20" s="102" t="s">
        <v>77</v>
      </c>
      <c r="Z20" s="102"/>
      <c r="AA20" s="102" t="s">
        <v>77</v>
      </c>
      <c r="AB20" s="102"/>
      <c r="AC20" s="102" t="s">
        <v>77</v>
      </c>
      <c r="AD20" s="102"/>
      <c r="AE20" s="102" t="s">
        <v>77</v>
      </c>
      <c r="AF20" s="102"/>
      <c r="AG20" s="102" t="s">
        <v>77</v>
      </c>
      <c r="AH20" s="102"/>
      <c r="AI20" s="102" t="s">
        <v>77</v>
      </c>
      <c r="AJ20" s="102" t="s">
        <v>77</v>
      </c>
      <c r="AK20" s="102"/>
      <c r="AL20" s="102" t="s">
        <v>77</v>
      </c>
      <c r="AM20" s="102"/>
      <c r="AN20" s="102" t="s">
        <v>77</v>
      </c>
      <c r="AO20" s="102"/>
      <c r="AP20" s="102" t="s">
        <v>77</v>
      </c>
      <c r="AQ20" s="102"/>
      <c r="AR20" s="102" t="s">
        <v>77</v>
      </c>
      <c r="AS20" s="102"/>
      <c r="AT20" s="102" t="s">
        <v>77</v>
      </c>
      <c r="AU20" s="102"/>
      <c r="AV20" s="102" t="s">
        <v>77</v>
      </c>
      <c r="AW20" s="102"/>
      <c r="AX20" s="102" t="s">
        <v>77</v>
      </c>
      <c r="AY20" s="102"/>
      <c r="AZ20" s="102" t="s">
        <v>77</v>
      </c>
      <c r="BA20" s="102"/>
      <c r="BB20" s="102" t="s">
        <v>77</v>
      </c>
      <c r="BC20" s="102"/>
      <c r="BD20" s="102" t="s">
        <v>77</v>
      </c>
      <c r="BE20" s="102"/>
      <c r="BF20" s="102" t="s">
        <v>77</v>
      </c>
      <c r="BG20" s="102"/>
      <c r="BH20" s="102" t="s">
        <v>77</v>
      </c>
      <c r="BI20" s="102"/>
      <c r="BJ20" s="102" t="s">
        <v>77</v>
      </c>
      <c r="BK20" s="102"/>
      <c r="BL20" s="102" t="s">
        <v>77</v>
      </c>
      <c r="BM20" s="103"/>
      <c r="BN20" s="76" t="s">
        <v>70</v>
      </c>
      <c r="BO20" s="94" t="s">
        <v>77</v>
      </c>
      <c r="BP20" s="48" t="s">
        <v>54</v>
      </c>
      <c r="BQ20" s="185"/>
    </row>
    <row r="21" spans="1:69" s="14" customFormat="1" ht="27" customHeight="1" x14ac:dyDescent="0.25">
      <c r="B21" s="184"/>
      <c r="C21" s="48" t="s">
        <v>55</v>
      </c>
      <c r="D21" s="94" t="s">
        <v>77</v>
      </c>
      <c r="E21" s="52"/>
      <c r="F21" s="82">
        <v>1</v>
      </c>
      <c r="G21" s="53">
        <v>2</v>
      </c>
      <c r="H21" s="53">
        <v>3</v>
      </c>
      <c r="I21" s="53">
        <v>4</v>
      </c>
      <c r="J21" s="53">
        <v>5</v>
      </c>
      <c r="K21" s="53">
        <v>6</v>
      </c>
      <c r="L21" s="53">
        <v>7</v>
      </c>
      <c r="M21" s="53">
        <v>8</v>
      </c>
      <c r="N21" s="53">
        <v>9</v>
      </c>
      <c r="O21" s="53">
        <v>10</v>
      </c>
      <c r="P21" s="53">
        <v>11</v>
      </c>
      <c r="Q21" s="53">
        <v>12</v>
      </c>
      <c r="R21" s="53">
        <v>13</v>
      </c>
      <c r="S21" s="53">
        <v>14</v>
      </c>
      <c r="T21" s="53">
        <v>15</v>
      </c>
      <c r="U21" s="53">
        <v>16</v>
      </c>
      <c r="V21" s="53">
        <v>17</v>
      </c>
      <c r="W21" s="53">
        <v>18</v>
      </c>
      <c r="X21" s="53">
        <v>19</v>
      </c>
      <c r="Y21" s="53">
        <v>20</v>
      </c>
      <c r="Z21" s="53">
        <v>21</v>
      </c>
      <c r="AA21" s="53">
        <v>22</v>
      </c>
      <c r="AB21" s="53">
        <v>23</v>
      </c>
      <c r="AC21" s="53">
        <v>24</v>
      </c>
      <c r="AD21" s="53">
        <v>25</v>
      </c>
      <c r="AE21" s="53">
        <v>26</v>
      </c>
      <c r="AF21" s="53">
        <v>27</v>
      </c>
      <c r="AG21" s="53">
        <v>28</v>
      </c>
      <c r="AH21" s="53">
        <v>29</v>
      </c>
      <c r="AI21" s="53">
        <v>30</v>
      </c>
      <c r="AJ21" s="53">
        <v>31</v>
      </c>
      <c r="AK21" s="53">
        <v>32</v>
      </c>
      <c r="AL21" s="53">
        <v>33</v>
      </c>
      <c r="AM21" s="53">
        <v>34</v>
      </c>
      <c r="AN21" s="53">
        <v>35</v>
      </c>
      <c r="AO21" s="53">
        <v>36</v>
      </c>
      <c r="AP21" s="53">
        <v>37</v>
      </c>
      <c r="AQ21" s="53">
        <v>38</v>
      </c>
      <c r="AR21" s="53">
        <v>39</v>
      </c>
      <c r="AS21" s="53">
        <v>40</v>
      </c>
      <c r="AT21" s="53">
        <v>41</v>
      </c>
      <c r="AU21" s="53">
        <v>42</v>
      </c>
      <c r="AV21" s="53">
        <v>43</v>
      </c>
      <c r="AW21" s="53">
        <v>44</v>
      </c>
      <c r="AX21" s="53">
        <v>45</v>
      </c>
      <c r="AY21" s="53">
        <v>46</v>
      </c>
      <c r="AZ21" s="53">
        <v>47</v>
      </c>
      <c r="BA21" s="53">
        <v>48</v>
      </c>
      <c r="BB21" s="53">
        <v>49</v>
      </c>
      <c r="BC21" s="53">
        <v>50</v>
      </c>
      <c r="BD21" s="53">
        <v>51</v>
      </c>
      <c r="BE21" s="53">
        <v>52</v>
      </c>
      <c r="BF21" s="53">
        <v>53</v>
      </c>
      <c r="BG21" s="53">
        <v>54</v>
      </c>
      <c r="BH21" s="53">
        <v>55</v>
      </c>
      <c r="BI21" s="53">
        <v>56</v>
      </c>
      <c r="BJ21" s="53">
        <v>57</v>
      </c>
      <c r="BK21" s="53">
        <v>58</v>
      </c>
      <c r="BL21" s="53">
        <v>59</v>
      </c>
      <c r="BM21" s="83">
        <v>60</v>
      </c>
      <c r="BO21" s="94" t="s">
        <v>77</v>
      </c>
      <c r="BP21" s="48" t="s">
        <v>56</v>
      </c>
      <c r="BQ21" s="185"/>
    </row>
    <row r="22" spans="1:69" s="1" customFormat="1" ht="27" customHeight="1" x14ac:dyDescent="0.25">
      <c r="B22" s="184"/>
      <c r="C22" s="48" t="s">
        <v>71</v>
      </c>
      <c r="D22" s="94" t="s">
        <v>77</v>
      </c>
      <c r="E22" s="52"/>
      <c r="F22" s="186" t="s">
        <v>51</v>
      </c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4"/>
      <c r="BO22" s="94" t="s">
        <v>77</v>
      </c>
      <c r="BP22" s="48" t="s">
        <v>73</v>
      </c>
      <c r="BQ22" s="185"/>
    </row>
    <row r="23" spans="1:69" s="1" customFormat="1" ht="27" customHeight="1" x14ac:dyDescent="0.25">
      <c r="B23" s="184"/>
      <c r="C23" s="48" t="s">
        <v>72</v>
      </c>
      <c r="D23" s="94" t="s">
        <v>77</v>
      </c>
      <c r="E23" s="52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4"/>
      <c r="BO23" s="94" t="s">
        <v>77</v>
      </c>
      <c r="BP23" s="48" t="s">
        <v>74</v>
      </c>
      <c r="BQ23" s="54"/>
    </row>
    <row r="24" spans="1:69" ht="27" thickBot="1" x14ac:dyDescent="0.45">
      <c r="A24" s="55"/>
      <c r="B24" s="56"/>
      <c r="C24" s="57"/>
      <c r="D24" s="58"/>
      <c r="E24" s="57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7"/>
      <c r="BO24" s="58"/>
      <c r="BP24" s="59"/>
      <c r="BQ24" s="60"/>
    </row>
    <row r="30" spans="1:69" s="63" customFormat="1" x14ac:dyDescent="0.4">
      <c r="A30" s="61"/>
      <c r="B30" s="61"/>
      <c r="C30" s="62"/>
      <c r="E30" s="62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P30" s="64"/>
      <c r="BQ30" s="61"/>
    </row>
  </sheetData>
  <mergeCells count="6">
    <mergeCell ref="B1:BN1"/>
    <mergeCell ref="B5:B23"/>
    <mergeCell ref="BQ5:BQ22"/>
    <mergeCell ref="F22:BM23"/>
    <mergeCell ref="C4:E4"/>
    <mergeCell ref="BN4:BP4"/>
  </mergeCells>
  <conditionalFormatting sqref="D5:BO20 D21:E21 BN21:BO21 D22:BO23">
    <cfRule type="containsText" dxfId="7" priority="1" operator="containsText" text="OK">
      <formula>NOT(ISERROR(SEARCH("OK",D5)))</formula>
    </cfRule>
  </conditionalFormatting>
  <conditionalFormatting sqref="F5:BM20 D5:D23">
    <cfRule type="containsText" dxfId="6" priority="6" operator="containsText" text="M">
      <formula>NOT(ISERROR(SEARCH("M",D5)))</formula>
    </cfRule>
  </conditionalFormatting>
  <conditionalFormatting sqref="F6:BM6 AH7:AI13">
    <cfRule type="containsText" dxfId="5" priority="7" operator="containsText" text="C">
      <formula>NOT(ISERROR(SEARCH("C",F6)))</formula>
    </cfRule>
  </conditionalFormatting>
  <conditionalFormatting sqref="F7:BM20 F5:BL5 D5:D23">
    <cfRule type="containsText" dxfId="4" priority="47" operator="containsText" text="C">
      <formula>NOT(ISERROR(SEARCH("C",D5)))</formula>
    </cfRule>
  </conditionalFormatting>
  <conditionalFormatting sqref="BM5:BM8">
    <cfRule type="containsText" dxfId="3" priority="45" operator="containsText" text="C">
      <formula>NOT(ISERROR(SEARCH("C",BM5)))</formula>
    </cfRule>
  </conditionalFormatting>
  <conditionalFormatting sqref="BM6:BM8">
    <cfRule type="containsText" dxfId="2" priority="44" operator="containsText" text="M">
      <formula>NOT(ISERROR(SEARCH("M",BM6)))</formula>
    </cfRule>
  </conditionalFormatting>
  <conditionalFormatting sqref="BO5:BO23">
    <cfRule type="containsText" dxfId="1" priority="42" operator="containsText" text="M">
      <formula>NOT(ISERROR(SEARCH("M",BO5)))</formula>
    </cfRule>
    <cfRule type="containsText" dxfId="0" priority="43" operator="containsText" text="C">
      <formula>NOT(ISERROR(SEARCH("C",BO5)))</formula>
    </cfRule>
  </conditionalFormatting>
  <printOptions horizontalCentered="1" verticalCentered="1"/>
  <pageMargins left="0.23622047244094491" right="0.27559055118110237" top="0.55118110236220474" bottom="0.74803149606299213" header="0.31496062992125984" footer="0.31496062992125984"/>
  <pageSetup paperSize="17" scale="44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FRM-BCA-19.370.3.OS032-01 CC BA</vt:lpstr>
      <vt:lpstr>T.VAPOR</vt:lpstr>
      <vt:lpstr>T.LODOS</vt:lpstr>
      <vt:lpstr>Calibracion orificios</vt:lpstr>
      <vt:lpstr>'FRM-BCA-19.370.3.OS032-01 CC BA'!Títulos_a_imprimir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BPALQUILER</dc:creator>
  <cp:lastModifiedBy>01AC0630</cp:lastModifiedBy>
  <cp:lastPrinted>2023-12-11T12:58:29Z</cp:lastPrinted>
  <dcterms:created xsi:type="dcterms:W3CDTF">2021-06-30T19:08:47Z</dcterms:created>
  <dcterms:modified xsi:type="dcterms:W3CDTF">2024-01-08T11:56:12Z</dcterms:modified>
</cp:coreProperties>
</file>